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Case" sheetId="1" state="visible" r:id="rId1"/>
    <sheet xmlns:r="http://schemas.openxmlformats.org/officeDocument/2006/relationships" name="Proxy Case" sheetId="2" state="visible" r:id="rId2"/>
    <sheet xmlns:r="http://schemas.openxmlformats.org/officeDocument/2006/relationships" name="OK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&quot; months&quot;"/>
    <numFmt numFmtId="166" formatCode="#,##0.0"/>
  </numFmts>
  <fonts count="33">
    <font>
      <name val="Calibri"/>
      <family val="2"/>
      <color theme="1"/>
      <sz val="11"/>
      <scheme val="minor"/>
    </font>
    <font>
      <b val="1"/>
      <color rgb="00FFFFFF"/>
      <sz val="14"/>
    </font>
    <font>
      <color rgb="00D4A96A"/>
      <sz val="10"/>
    </font>
    <font>
      <b val="1"/>
      <color rgb="009A8878"/>
      <sz val="9"/>
    </font>
    <font>
      <color rgb="00FFFFFF"/>
      <sz val="9"/>
    </font>
    <font>
      <color rgb="009A6B1A"/>
      <sz val="9"/>
    </font>
    <font>
      <b val="1"/>
      <color rgb="00FFFFFF"/>
      <sz val="10"/>
    </font>
    <font>
      <color rgb="001A1208"/>
      <sz val="9"/>
    </font>
    <font>
      <i val="1"/>
      <color rgb="009A8878"/>
      <sz val="8.5"/>
    </font>
    <font>
      <b val="1"/>
      <color rgb="001A4A8A"/>
      <sz val="9"/>
    </font>
    <font>
      <color rgb="001A4A8A"/>
      <sz val="9"/>
    </font>
    <font>
      <b val="1"/>
      <color rgb="001A1208"/>
      <sz val="9"/>
    </font>
    <font>
      <b val="1"/>
      <color rgb="002E7D52"/>
      <sz val="9"/>
    </font>
    <font>
      <b val="1"/>
      <color rgb="009A6B1A"/>
      <sz val="9"/>
    </font>
    <font>
      <b val="1"/>
      <color rgb="009A8878"/>
      <sz val="8"/>
    </font>
    <font>
      <b val="1"/>
      <color rgb="002E7D52"/>
      <sz val="8"/>
    </font>
    <font>
      <color rgb="009A8878"/>
      <sz val="8.5"/>
    </font>
    <font>
      <b val="1"/>
      <color rgb="002E7D52"/>
      <sz val="10"/>
    </font>
    <font>
      <color rgb="00D4A96A"/>
      <sz val="9"/>
    </font>
    <font>
      <color rgb="002C5F8A"/>
      <sz val="9"/>
    </font>
    <font>
      <b val="1"/>
      <color rgb="0016110C"/>
      <sz val="9"/>
    </font>
    <font>
      <color rgb="001A1208"/>
      <sz val="10"/>
    </font>
    <font>
      <color rgb="009A8878"/>
      <sz val="9"/>
    </font>
    <font>
      <color rgb="007A3A8A"/>
      <sz val="9"/>
    </font>
    <font>
      <color rgb="002E7D52"/>
      <sz val="9"/>
    </font>
    <font>
      <color rgb="001A4A8A"/>
      <sz val="10"/>
    </font>
    <font>
      <b val="1"/>
      <color rgb="00FFFFFF"/>
      <sz val="11"/>
    </font>
    <font>
      <b val="1"/>
      <color rgb="00FFFFFF"/>
      <sz val="12"/>
    </font>
    <font>
      <i val="1"/>
      <color rgb="009A6B1A"/>
      <sz val="9"/>
    </font>
    <font>
      <color rgb="001A5276"/>
      <sz val="9"/>
    </font>
    <font>
      <color rgb="00145A32"/>
      <sz val="9"/>
    </font>
    <font>
      <color rgb="007D3C98"/>
      <sz val="9"/>
    </font>
    <font>
      <color rgb="00935116"/>
      <sz val="9"/>
    </font>
  </fonts>
  <fills count="26">
    <fill>
      <patternFill/>
    </fill>
    <fill>
      <patternFill patternType="gray125"/>
    </fill>
    <fill>
      <patternFill patternType="solid">
        <fgColor rgb="FF16110C"/>
      </patternFill>
    </fill>
    <fill>
      <patternFill patternType="solid">
        <fgColor rgb="FF2E2218"/>
      </patternFill>
    </fill>
    <fill>
      <patternFill patternType="solid">
        <fgColor rgb="FFFFFFF0"/>
      </patternFill>
    </fill>
    <fill>
      <patternFill patternType="solid">
        <fgColor rgb="FFB87333"/>
      </patternFill>
    </fill>
    <fill>
      <patternFill patternType="solid">
        <fgColor rgb="FFE0D8CE"/>
      </patternFill>
    </fill>
    <fill>
      <patternFill patternType="solid">
        <fgColor rgb="FFE8F4FD"/>
      </patternFill>
    </fill>
    <fill>
      <patternFill patternType="solid">
        <fgColor rgb="FFFFFDE0"/>
      </patternFill>
    </fill>
    <fill>
      <patternFill patternType="solid">
        <fgColor rgb="FFFDF4E3"/>
      </patternFill>
    </fill>
    <fill>
      <patternFill patternType="solid">
        <fgColor rgb="FFFFFFFF"/>
      </patternFill>
    </fill>
    <fill>
      <patternFill patternType="solid">
        <fgColor rgb="FFEBF5EF"/>
      </patternFill>
    </fill>
    <fill>
      <patternFill patternType="solid">
        <fgColor rgb="FFF2EDE6"/>
      </patternFill>
    </fill>
    <fill>
      <patternFill patternType="solid">
        <fgColor rgb="FF2C5F8A"/>
      </patternFill>
    </fill>
    <fill>
      <patternFill patternType="solid">
        <fgColor rgb="FF7A3A8A"/>
      </patternFill>
    </fill>
    <fill>
      <patternFill patternType="solid">
        <fgColor rgb="FFEDE8F5"/>
      </patternFill>
    </fill>
    <fill>
      <patternFill patternType="solid">
        <fgColor rgb="FF3A7A5A"/>
      </patternFill>
    </fill>
    <fill>
      <patternFill patternType="solid">
        <fgColor rgb="FF1A5276"/>
      </patternFill>
    </fill>
    <fill>
      <patternFill patternType="solid">
        <fgColor rgb="FFEAF2FF"/>
      </patternFill>
    </fill>
    <fill>
      <patternFill patternType="solid">
        <fgColor rgb="FF145A32"/>
      </patternFill>
    </fill>
    <fill>
      <patternFill patternType="solid">
        <fgColor rgb="FFE9F7EF"/>
      </patternFill>
    </fill>
    <fill>
      <patternFill patternType="solid">
        <fgColor rgb="FF7D3C98"/>
      </patternFill>
    </fill>
    <fill>
      <patternFill patternType="solid">
        <fgColor rgb="FFF4ECF7"/>
      </patternFill>
    </fill>
    <fill>
      <patternFill patternType="solid">
        <fgColor rgb="FF935116"/>
      </patternFill>
    </fill>
    <fill>
      <patternFill patternType="solid">
        <fgColor rgb="FFFEF5E7"/>
      </patternFill>
    </fill>
    <fill>
      <patternFill patternType="solid">
        <fgColor rgb="FFE8F6F3"/>
      </patternFill>
    </fill>
  </fills>
  <borders count="6">
    <border>
      <left/>
      <right/>
      <top/>
      <bottom/>
      <diagonal/>
    </border>
    <border>
      <left style="thin">
        <color rgb="00C0B8B0"/>
      </left>
      <right style="thin">
        <color rgb="00C0B8B0"/>
      </right>
      <top style="thin">
        <color rgb="00C0B8B0"/>
      </top>
      <bottom style="thin">
        <color rgb="00C0B8B0"/>
      </bottom>
    </border>
    <border>
      <left/>
      <right/>
      <top style="thin">
        <color rgb="00C0B8B0"/>
      </top>
      <bottom/>
      <diagonal/>
    </border>
    <border>
      <left/>
      <right style="thin">
        <color rgb="00C0B8B0"/>
      </right>
      <top style="thin">
        <color rgb="00C0B8B0"/>
      </top>
      <bottom/>
      <diagonal/>
    </border>
    <border>
      <left/>
      <right style="thin">
        <color rgb="00C0B8B0"/>
      </right>
      <top style="thin">
        <color rgb="00C0B8B0"/>
      </top>
      <bottom style="thin">
        <color rgb="00C0B8B0"/>
      </bottom>
      <diagonal/>
    </border>
    <border>
      <left/>
      <right/>
      <top style="thin">
        <color rgb="00C0B8B0"/>
      </top>
      <bottom style="thin">
        <color rgb="00C0B8B0"/>
      </bottom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164" fontId="9" fillId="7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4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right" vertical="center"/>
    </xf>
    <xf numFmtId="3" fontId="10" fillId="7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right" vertical="center"/>
    </xf>
    <xf numFmtId="164" fontId="12" fillId="7" borderId="1" applyAlignment="1" pivotButton="0" quotePrefix="0" xfId="0">
      <alignment horizontal="right" vertical="center"/>
    </xf>
    <xf numFmtId="164" fontId="10" fillId="7" borderId="1" applyAlignment="1" pivotButton="0" quotePrefix="0" xfId="0">
      <alignment horizontal="right" vertical="center"/>
    </xf>
    <xf numFmtId="165" fontId="13" fillId="7" borderId="1" applyAlignment="1" pivotButton="0" quotePrefix="0" xfId="0">
      <alignment horizontal="right" vertical="center"/>
    </xf>
    <xf numFmtId="165" fontId="9" fillId="7" borderId="1" applyAlignment="1" pivotButton="0" quotePrefix="0" xfId="0">
      <alignment horizontal="right" vertical="center"/>
    </xf>
    <xf numFmtId="165" fontId="12" fillId="7" borderId="1" applyAlignment="1" pivotButton="0" quotePrefix="0" xfId="0">
      <alignment horizontal="right" vertical="center"/>
    </xf>
    <xf numFmtId="0" fontId="5" fillId="9" borderId="0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164" fontId="17" fillId="7" borderId="1" applyAlignment="1" pivotButton="0" quotePrefix="0" xfId="0">
      <alignment horizontal="right" vertical="center"/>
    </xf>
    <xf numFmtId="0" fontId="18" fillId="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19" fillId="7" borderId="0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20" fillId="12" borderId="0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left" vertical="center" wrapText="1"/>
    </xf>
    <xf numFmtId="0" fontId="22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6" fillId="14" borderId="0" applyAlignment="1" pivotButton="0" quotePrefix="0" xfId="0">
      <alignment horizontal="center" vertical="center" wrapText="1"/>
    </xf>
    <xf numFmtId="0" fontId="23" fillId="15" borderId="0" applyAlignment="1" pivotButton="0" quotePrefix="0" xfId="0">
      <alignment horizontal="center" vertical="center" wrapText="1"/>
    </xf>
    <xf numFmtId="0" fontId="0" fillId="0" borderId="5" pivotButton="0" quotePrefix="0" xfId="0"/>
    <xf numFmtId="0" fontId="16" fillId="0" borderId="1" applyAlignment="1" pivotButton="0" quotePrefix="0" xfId="0">
      <alignment horizontal="center" vertical="center" wrapText="1"/>
    </xf>
    <xf numFmtId="0" fontId="6" fillId="16" borderId="0" applyAlignment="1" pivotButton="0" quotePrefix="0" xfId="0">
      <alignment horizontal="center" vertical="center" wrapText="1"/>
    </xf>
    <xf numFmtId="0" fontId="24" fillId="11" borderId="0" applyAlignment="1" pivotButton="0" quotePrefix="0" xfId="0">
      <alignment horizontal="center" vertical="center" wrapText="1"/>
    </xf>
    <xf numFmtId="0" fontId="25" fillId="10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26" fillId="2" borderId="0" applyAlignment="1" pivotButton="0" quotePrefix="0" xfId="0">
      <alignment horizontal="center" vertical="center" wrapText="1"/>
    </xf>
    <xf numFmtId="0" fontId="27" fillId="5" borderId="0" applyAlignment="1" pivotButton="0" quotePrefix="0" xfId="0">
      <alignment horizontal="center" vertical="center" wrapText="1"/>
    </xf>
    <xf numFmtId="0" fontId="13" fillId="9" borderId="0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left" vertical="center" wrapText="1"/>
    </xf>
    <xf numFmtId="0" fontId="17" fillId="11" borderId="0" applyAlignment="1" pivotButton="0" quotePrefix="0" xfId="0">
      <alignment horizontal="center" vertical="center" wrapText="1"/>
    </xf>
    <xf numFmtId="0" fontId="6" fillId="17" borderId="0" applyAlignment="1" pivotButton="0" quotePrefix="0" xfId="0">
      <alignment horizontal="center" vertical="center" wrapText="1"/>
    </xf>
    <xf numFmtId="0" fontId="29" fillId="18" borderId="0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right" vertical="center"/>
    </xf>
    <xf numFmtId="0" fontId="22" fillId="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right" vertical="center"/>
    </xf>
    <xf numFmtId="9" fontId="10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6" fillId="19" borderId="0" applyAlignment="1" pivotButton="0" quotePrefix="0" xfId="0">
      <alignment horizontal="center" vertical="center" wrapText="1"/>
    </xf>
    <xf numFmtId="0" fontId="30" fillId="20" borderId="0" applyAlignment="1" pivotButton="0" quotePrefix="0" xfId="0">
      <alignment horizontal="center" vertical="center" wrapText="1"/>
    </xf>
    <xf numFmtId="0" fontId="6" fillId="21" borderId="0" applyAlignment="1" pivotButton="0" quotePrefix="0" xfId="0">
      <alignment horizontal="center" vertical="center" wrapText="1"/>
    </xf>
    <xf numFmtId="0" fontId="31" fillId="22" borderId="0" applyAlignment="1" pivotButton="0" quotePrefix="0" xfId="0">
      <alignment horizontal="center" vertical="center" wrapText="1"/>
    </xf>
    <xf numFmtId="0" fontId="6" fillId="23" borderId="0" applyAlignment="1" pivotButton="0" quotePrefix="0" xfId="0">
      <alignment horizontal="center" vertical="center" wrapText="1"/>
    </xf>
    <xf numFmtId="0" fontId="32" fillId="24" borderId="0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right" vertical="center"/>
    </xf>
    <xf numFmtId="0" fontId="29" fillId="25" borderId="0" applyAlignment="1" pivotButton="0" quotePrefix="0" xfId="0">
      <alignment horizontal="center" vertical="center" wrapText="1"/>
    </xf>
    <xf numFmtId="0" fontId="2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</cols>
  <sheetData>
    <row r="1" ht="28" customHeight="1">
      <c r="A1" s="1" t="inlineStr">
        <is>
          <t>BUSINESS CASE  —  Premium Leather Goods · Printify Supply Pillar</t>
        </is>
      </c>
    </row>
    <row r="2" ht="18" customHeight="1">
      <c r="A2" s="2" t="inlineStr">
        <is>
          <t>USA Market · 2025  |  Verdict: GO WITH CONDITIONS  |  Payback: ~7 months</t>
        </is>
      </c>
    </row>
    <row r="3">
      <c r="A3" s="3" t="inlineStr">
        <is>
          <t>Owner</t>
        </is>
      </c>
      <c r="B3" s="4" t="inlineStr">
        <is>
          <t>Supply PM</t>
        </is>
      </c>
      <c r="C3" s="3" t="inlineStr">
        <is>
          <t>Target</t>
        </is>
      </c>
      <c r="D3" s="4" t="inlineStr">
        <is>
          <t>Q1 2026</t>
        </is>
      </c>
      <c r="E3" s="3" t="inlineStr">
        <is>
          <t>Market</t>
        </is>
      </c>
      <c r="F3" s="4" t="inlineStr">
        <is>
          <t>USA · 2025</t>
        </is>
      </c>
    </row>
    <row r="4" ht="16" customHeight="1">
      <c r="A4" s="5" t="inlineStr">
        <is>
          <t>🟡 YELLOW = editable input   🔵 BLUE = calculated (formula)   Change yellow cells — blue cells update automatically</t>
        </is>
      </c>
    </row>
    <row r="5" ht="6" customHeight="1"/>
    <row r="6" ht="18" customHeight="1">
      <c r="A6" s="6" t="inlineStr">
        <is>
          <t>A  —  MARKET SIZING</t>
        </is>
      </c>
    </row>
    <row r="7">
      <c r="A7" s="7" t="inlineStr">
        <is>
          <t>Metric</t>
        </is>
      </c>
      <c r="B7" s="7" t="inlineStr">
        <is>
          <t>Value (USD)</t>
        </is>
      </c>
      <c r="C7" s="7" t="inlineStr">
        <is>
          <t>Notes / Source</t>
        </is>
      </c>
    </row>
    <row r="8">
      <c r="A8" s="8" t="inlineStr">
        <is>
          <t>USA Leather Goods Market (2024)</t>
        </is>
      </c>
      <c r="B8" s="9" t="n">
        <v>54000000000</v>
      </c>
      <c r="C8" s="10" t="inlineStr">
        <is>
          <t>Nova One Advisor 2025 — real data</t>
        </is>
      </c>
    </row>
    <row r="9">
      <c r="A9" s="8" t="inlineStr">
        <is>
          <t>Custom / Personalized Leather TAM</t>
        </is>
      </c>
      <c r="B9" s="9" t="n">
        <v>2500000000</v>
      </c>
      <c r="C9" s="10" t="inlineStr">
        <is>
          <t>EST: $2–3B · POD-compatible products only</t>
        </is>
      </c>
    </row>
    <row r="10">
      <c r="A10" s="8" t="inlineStr">
        <is>
          <t>POD-Compatible Leather Segment</t>
        </is>
      </c>
      <c r="B10" s="9" t="n">
        <v>900000000</v>
      </c>
      <c r="C10" s="10" t="inlineStr">
        <is>
          <t>EST: $600M–1.2B midpoint</t>
        </is>
      </c>
    </row>
    <row r="11">
      <c r="A11" s="8" t="inlineStr">
        <is>
          <t>Printify Addressable (est. 3% share)</t>
        </is>
      </c>
      <c r="B11" s="11">
        <f>C10*0.03</f>
        <v/>
      </c>
      <c r="C11" s="10">
        <f>C{r}*0.03 — formula</f>
        <v/>
      </c>
    </row>
    <row r="12">
      <c r="A12" s="8" t="inlineStr">
        <is>
          <t>Personalized Gifts Market USA</t>
        </is>
      </c>
      <c r="B12" s="9" t="n">
        <v>9700000000</v>
      </c>
      <c r="C12" s="10" t="inlineStr">
        <is>
          <t>Arizton 2025 — real data · +7% CAGR</t>
        </is>
      </c>
    </row>
    <row r="13">
      <c r="A13" s="8" t="inlineStr">
        <is>
          <t>Leather Wallet CAGR 2023–2030</t>
        </is>
      </c>
      <c r="B13" s="12" t="inlineStr">
        <is>
          <t>9.5%</t>
        </is>
      </c>
      <c r="C13" s="10" t="inlineStr">
        <is>
          <t>Cognitive Market Research — real data</t>
        </is>
      </c>
    </row>
    <row r="14">
      <c r="A14" s="8" t="inlineStr">
        <is>
          <t>AOV Premium vs Apparel</t>
        </is>
      </c>
      <c r="B14" s="12" t="inlineStr">
        <is>
          <t>1.5× – 3.5×</t>
        </is>
      </c>
      <c r="C14" s="10" t="inlineStr">
        <is>
          <t>AmzChart — leather $30–65 vs apparel $18–25</t>
        </is>
      </c>
    </row>
    <row r="15">
      <c r="A15" s="8" t="inlineStr">
        <is>
          <t>Consumers Paying Engraving Premium</t>
        </is>
      </c>
      <c r="B15" s="12" t="inlineStr">
        <is>
          <t>42%</t>
        </is>
      </c>
      <c r="C15" s="10" t="inlineStr">
        <is>
          <t>AmzChart 2025 — real data</t>
        </is>
      </c>
    </row>
    <row r="16">
      <c r="A16" s="8" t="inlineStr">
        <is>
          <t>First-Mover Window</t>
        </is>
      </c>
      <c r="B16" s="12" t="inlineStr">
        <is>
          <t>~18 months</t>
        </is>
      </c>
      <c r="C16" s="10" t="inlineStr">
        <is>
          <t>EST — before Printful likely enters genuine leather</t>
        </is>
      </c>
    </row>
    <row r="18" ht="18" customHeight="1">
      <c r="A18" s="6" t="inlineStr">
        <is>
          <t>B  —  REVENUE MODEL  (edit yellow inputs)</t>
        </is>
      </c>
    </row>
    <row r="19" ht="28" customHeight="1">
      <c r="A19" s="7" t="inlineStr">
        <is>
          <t>Input</t>
        </is>
      </c>
      <c r="B19" s="7" t="inlineStr">
        <is>
          <t>Value</t>
        </is>
      </c>
      <c r="C19" s="13" t="n"/>
      <c r="D19" s="7" t="inlineStr">
        <is>
          <t>Output</t>
        </is>
      </c>
      <c r="E19" s="14" t="inlineStr">
        <is>
          <t>Conservative
(50% orders)</t>
        </is>
      </c>
      <c r="F19" s="15" t="inlineStr">
        <is>
          <t>Base Case
(modeled)</t>
        </is>
      </c>
      <c r="G19" s="14" t="inlineStr">
        <is>
          <t>Optimistic
(150% orders)</t>
        </is>
      </c>
    </row>
    <row r="20">
      <c r="A20" s="8" t="inlineStr">
        <is>
          <t>Active Decorators</t>
        </is>
      </c>
      <c r="B20" s="16" t="n">
        <v>10</v>
      </c>
      <c r="C20" s="10" t="inlineStr">
        <is>
          <t>Decorators committed to leather catalog</t>
        </is>
      </c>
      <c r="D20" s="8" t="inlineStr">
        <is>
          <t>Total SKUs</t>
        </is>
      </c>
      <c r="E20" s="17">
        <f>B20*B21</f>
        <v/>
      </c>
      <c r="F20" s="17">
        <f>B20*B21</f>
        <v/>
      </c>
      <c r="G20" s="17">
        <f>B20*B21</f>
        <v/>
      </c>
    </row>
    <row r="21">
      <c r="A21" s="8" t="inlineStr">
        <is>
          <t>Avg SKUs per Decorator</t>
        </is>
      </c>
      <c r="B21" s="16" t="n">
        <v>150</v>
      </c>
      <c r="C21" s="10" t="inlineStr">
        <is>
          <t>Leather SKUs per active Decorator</t>
        </is>
      </c>
      <c r="D21" s="8" t="inlineStr">
        <is>
          <t>Monthly Orders</t>
        </is>
      </c>
      <c r="E21" s="17">
        <f>B20*B21*B22</f>
        <v/>
      </c>
      <c r="F21" s="17">
        <f>B20*B21*B22</f>
        <v/>
      </c>
      <c r="G21" s="17">
        <f>B20*B21*B22</f>
        <v/>
      </c>
    </row>
    <row r="22">
      <c r="A22" s="8" t="inlineStr">
        <is>
          <t>Avg Orders / SKU / Month</t>
        </is>
      </c>
      <c r="B22" s="16" t="n">
        <v>50</v>
      </c>
      <c r="C22" s="10" t="inlineStr">
        <is>
          <t>⚠️ Critical assumption — validate in pilot</t>
        </is>
      </c>
      <c r="D22" s="18" t="inlineStr">
        <is>
          <t>Monthly Platform Margin</t>
        </is>
      </c>
      <c r="E22" s="11">
        <f>B20*B21*(B22*0.5)*B23</f>
        <v/>
      </c>
      <c r="F22" s="11">
        <f>B20*B21*B22*B23</f>
        <v/>
      </c>
      <c r="G22" s="11">
        <f>B20*B21*(B22*1.5)*B23</f>
        <v/>
      </c>
    </row>
    <row r="23">
      <c r="A23" s="8" t="inlineStr">
        <is>
          <t>Platform Margin per Order ($)</t>
        </is>
      </c>
      <c r="B23" s="19" t="n">
        <v>5</v>
      </c>
      <c r="C23" s="10" t="inlineStr">
        <is>
          <t>Printify net margin per leather order</t>
        </is>
      </c>
      <c r="D23" s="18" t="inlineStr">
        <is>
          <t>Annual Platform Margin</t>
        </is>
      </c>
      <c r="E23" s="11">
        <f>B20*B21*(B22*0.5)*B23*12</f>
        <v/>
      </c>
      <c r="F23" s="20">
        <f>B20*B21*B22*B23*12</f>
        <v/>
      </c>
      <c r="G23" s="11">
        <f>B20*B21*(B22*1.5)*B23*12</f>
        <v/>
      </c>
    </row>
    <row r="24">
      <c r="A24" s="8" t="inlineStr">
        <is>
          <t>Eng. Cost / Person / Week ($)</t>
        </is>
      </c>
      <c r="B24" s="19" t="n">
        <v>3000</v>
      </c>
      <c r="C24" s="10" t="inlineStr">
        <is>
          <t>Fully-loaded engineering cost</t>
        </is>
      </c>
      <c r="D24" s="8" t="inlineStr">
        <is>
          <t>Engineering Cost</t>
        </is>
      </c>
      <c r="E24" s="21">
        <f>B24*(3*2+4*1+2*1)</f>
        <v/>
      </c>
      <c r="F24" s="21">
        <f>B24*(3*2+4*1+2*1)</f>
        <v/>
      </c>
      <c r="G24" s="21">
        <f>B24*(3*2+4*1+2*1)</f>
        <v/>
      </c>
    </row>
    <row r="25">
      <c r="A25" s="8" t="inlineStr">
        <is>
          <t>Ops Cost / Hour ($)</t>
        </is>
      </c>
      <c r="B25" s="19" t="n">
        <v>50</v>
      </c>
      <c r="C25" s="10" t="inlineStr">
        <is>
          <t>Operations team hourly rate</t>
        </is>
      </c>
      <c r="D25" s="8" t="inlineStr">
        <is>
          <t>Ops Cost (12 weeks)</t>
        </is>
      </c>
      <c r="E25" s="21">
        <f>B25*10*12</f>
        <v/>
      </c>
      <c r="F25" s="21">
        <f>B25*10*12</f>
        <v/>
      </c>
      <c r="G25" s="21">
        <f>B25*10*12</f>
        <v/>
      </c>
    </row>
    <row r="26">
      <c r="A26" s="8" t="inlineStr">
        <is>
          <t>GTM Budget ($)</t>
        </is>
      </c>
      <c r="B26" s="19" t="n">
        <v>5000</v>
      </c>
      <c r="C26" s="10" t="inlineStr">
        <is>
          <t>Go-to-market spend (co-marketing launch)</t>
        </is>
      </c>
      <c r="D26" s="8" t="inlineStr">
        <is>
          <t>GTM Cost</t>
        </is>
      </c>
      <c r="E26" s="21">
        <f>B26</f>
        <v/>
      </c>
      <c r="F26" s="21">
        <f>B26</f>
        <v/>
      </c>
      <c r="G26" s="21">
        <f>B26</f>
        <v/>
      </c>
    </row>
    <row r="27">
      <c r="D27" s="18" t="inlineStr">
        <is>
          <t>Total Investment</t>
        </is>
      </c>
      <c r="E27" s="11">
        <f>B24*(3*2+4*1+2*1)+B25*10*12+B26</f>
        <v/>
      </c>
      <c r="F27" s="11">
        <f>B24*(3*2+4*1+2*1)+B25*10*12+B26</f>
        <v/>
      </c>
      <c r="G27" s="11">
        <f>B24*(3*2+4*1+2*1)+B25*10*12+B26</f>
        <v/>
      </c>
    </row>
    <row r="28">
      <c r="D28" s="18" t="inlineStr">
        <is>
          <t>Payback (months)</t>
        </is>
      </c>
      <c r="E28" s="22">
        <f>CEILING(E27/(E22*0.5),1)</f>
        <v/>
      </c>
      <c r="F28" s="23">
        <f>CEILING(E27/E22,1)</f>
        <v/>
      </c>
      <c r="G28" s="24">
        <f>CEILING(E27/(E22*1.5),1)</f>
        <v/>
      </c>
    </row>
    <row r="30" ht="30" customHeight="1">
      <c r="A30" s="25" t="inlineStr">
        <is>
          <t>⚠️  WARNING: 50 orders/SKU/month is the model's critical assumption. At 10 orders/SKU/month the initiative fails any investment threshold. Validate with 2-Decorator pilot before committing full engineering.</t>
        </is>
      </c>
    </row>
    <row r="32" ht="18" customHeight="1">
      <c r="A32" s="6" t="inlineStr">
        <is>
          <t>C  —  COMPETITIVE GAP  (verified Aug 2025)</t>
        </is>
      </c>
    </row>
    <row r="33">
      <c r="A33" s="7" t="inlineStr">
        <is>
          <t>Competitor</t>
        </is>
      </c>
      <c r="B33" s="7" t="inlineStr">
        <is>
          <t>Leather Catalog</t>
        </is>
      </c>
      <c r="C33" s="7" t="inlineStr">
        <is>
          <t>Genuine Leather</t>
        </is>
      </c>
      <c r="D33" s="7" t="inlineStr">
        <is>
          <t>Decoration Methods</t>
        </is>
      </c>
      <c r="E33" s="7" t="inlineStr">
        <is>
          <t>Threat Level</t>
        </is>
      </c>
      <c r="F33" s="7" t="inlineStr">
        <is>
          <t>Source</t>
        </is>
      </c>
      <c r="G33" s="7" t="inlineStr">
        <is>
          <t>First-Mover Risk</t>
        </is>
      </c>
    </row>
    <row r="34">
      <c r="A34" s="26" t="inlineStr">
        <is>
          <t>Gelato</t>
        </is>
      </c>
      <c r="B34" s="26" t="inlineStr">
        <is>
          <t>None</t>
        </is>
      </c>
      <c r="C34" s="26" t="inlineStr">
        <is>
          <t>None</t>
        </is>
      </c>
      <c r="D34" s="26" t="inlineStr">
        <is>
          <t>None</t>
        </is>
      </c>
      <c r="E34" s="27" t="inlineStr">
        <is>
          <t>NONE</t>
        </is>
      </c>
      <c r="F34" s="26" t="inlineStr">
        <is>
          <t>Gelato catalog Aug 2025</t>
        </is>
      </c>
      <c r="G34" s="26" t="inlineStr">
        <is>
          <t>None</t>
        </is>
      </c>
    </row>
    <row r="35">
      <c r="A35" s="26" t="inlineStr">
        <is>
          <t>Printful</t>
        </is>
      </c>
      <c r="B35" s="26" t="inlineStr">
        <is>
          <t>PU / faux patches only</t>
        </is>
      </c>
      <c r="C35" s="26" t="inlineStr">
        <is>
          <t>None</t>
        </is>
      </c>
      <c r="D35" s="26" t="inlineStr">
        <is>
          <t>Sublimation only</t>
        </is>
      </c>
      <c r="E35" s="27" t="inlineStr">
        <is>
          <t>LOW</t>
        </is>
      </c>
      <c r="F35" s="26" t="inlineStr">
        <is>
          <t>Printful catalog Aug 2025</t>
        </is>
      </c>
      <c r="G35" s="26" t="inlineStr">
        <is>
          <t>~18 months — most likely fast follower</t>
        </is>
      </c>
    </row>
    <row r="36">
      <c r="A36" s="26" t="inlineStr">
        <is>
          <t>Gooten</t>
        </is>
      </c>
      <c r="B36" s="26" t="inlineStr">
        <is>
          <t>None</t>
        </is>
      </c>
      <c r="C36" s="26" t="inlineStr">
        <is>
          <t>None</t>
        </is>
      </c>
      <c r="D36" s="26" t="inlineStr">
        <is>
          <t>None</t>
        </is>
      </c>
      <c r="E36" s="27" t="inlineStr">
        <is>
          <t>NONE</t>
        </is>
      </c>
      <c r="F36" s="26" t="inlineStr">
        <is>
          <t>Gooten catalog Aug 2025</t>
        </is>
      </c>
      <c r="G36" s="26" t="inlineStr">
        <is>
          <t>None</t>
        </is>
      </c>
    </row>
    <row r="37">
      <c r="A37" s="26" t="inlineStr">
        <is>
          <t>CustomCat</t>
        </is>
      </c>
      <c r="B37" s="26" t="inlineStr">
        <is>
          <t>None</t>
        </is>
      </c>
      <c r="C37" s="26" t="inlineStr">
        <is>
          <t>None</t>
        </is>
      </c>
      <c r="D37" s="26" t="inlineStr">
        <is>
          <t>None</t>
        </is>
      </c>
      <c r="E37" s="27" t="inlineStr">
        <is>
          <t>NONE</t>
        </is>
      </c>
      <c r="F37" s="26" t="inlineStr">
        <is>
          <t>CustomCat catalog Aug 2025</t>
        </is>
      </c>
      <c r="G37" s="26" t="inlineStr">
        <is>
          <t>None</t>
        </is>
      </c>
    </row>
    <row r="38">
      <c r="A38" s="26" t="inlineStr">
        <is>
          <t>Zazzle</t>
        </is>
      </c>
      <c r="B38" s="26" t="inlineStr">
        <is>
          <t>Some (D2C, mass)</t>
        </is>
      </c>
      <c r="C38" s="26" t="inlineStr">
        <is>
          <t>Limited</t>
        </is>
      </c>
      <c r="D38" s="26" t="inlineStr">
        <is>
          <t>Basic print</t>
        </is>
      </c>
      <c r="E38" s="28" t="inlineStr">
        <is>
          <t>INDIRECT</t>
        </is>
      </c>
      <c r="F38" s="26" t="inlineStr">
        <is>
          <t>Zazzle marketplace Aug 2025</t>
        </is>
      </c>
      <c r="G38" s="26" t="inlineStr">
        <is>
          <t>Different channel — indirect only</t>
        </is>
      </c>
    </row>
    <row r="39">
      <c r="A39" s="26" t="inlineStr">
        <is>
          <t>Amazon HM</t>
        </is>
      </c>
      <c r="B39" s="26" t="inlineStr">
        <is>
          <t>Some handmade sellers</t>
        </is>
      </c>
      <c r="C39" s="26" t="inlineStr">
        <is>
          <t>Yes</t>
        </is>
      </c>
      <c r="D39" s="26" t="inlineStr">
        <is>
          <t>Laser engraving (manual)</t>
        </is>
      </c>
      <c r="E39" s="28" t="inlineStr">
        <is>
          <t>INDIRECT</t>
        </is>
      </c>
      <c r="F39" s="26" t="inlineStr">
        <is>
          <t>Amazon Handmade Aug 2025</t>
        </is>
      </c>
      <c r="G39" s="26" t="inlineStr">
        <is>
          <t>Not a POD platform — no threat to POD market</t>
        </is>
      </c>
    </row>
    <row r="40">
      <c r="A40" s="29" t="inlineStr">
        <is>
          <t>Printify ✓</t>
        </is>
      </c>
      <c r="B40" s="29" t="inlineStr">
        <is>
          <t>TO BE BUILT</t>
        </is>
      </c>
      <c r="C40" s="29" t="inlineStr">
        <is>
          <t>YES (v1)</t>
        </is>
      </c>
      <c r="D40" s="29" t="inlineStr">
        <is>
          <t>Laser, Deboss, UV, Foil</t>
        </is>
      </c>
      <c r="E40" s="30" t="inlineStr">
        <is>
          <t>N/A — US</t>
        </is>
      </c>
      <c r="F40" s="29" t="inlineStr">
        <is>
          <t>This PRD</t>
        </is>
      </c>
      <c r="G40" s="29" t="inlineStr">
        <is>
          <t>First-mover if launched Q1 2026</t>
        </is>
      </c>
    </row>
    <row r="42" ht="18" customHeight="1">
      <c r="A42" s="6" t="inlineStr">
        <is>
          <t>D  —  INVESTMENT BREAKDOWN</t>
        </is>
      </c>
    </row>
    <row r="43">
      <c r="A43" s="7" t="inlineStr">
        <is>
          <t>Cost Item</t>
        </is>
      </c>
      <c r="B43" s="7" t="inlineStr">
        <is>
          <t>Weeks</t>
        </is>
      </c>
      <c r="C43" s="7" t="inlineStr">
        <is>
          <t>Team / Rate</t>
        </is>
      </c>
      <c r="D43" s="7" t="inlineStr">
        <is>
          <t>Calculation</t>
        </is>
      </c>
      <c r="E43" s="7" t="inlineStr">
        <is>
          <t>Cost (USD)</t>
        </is>
      </c>
      <c r="F43" s="7" t="inlineStr">
        <is>
          <t>Phase</t>
        </is>
      </c>
      <c r="G43" s="7" t="inlineStr">
        <is>
          <t>Notes</t>
        </is>
      </c>
    </row>
    <row r="44">
      <c r="A44" s="26" t="inlineStr">
        <is>
          <t>Backend Engineering (C1+C2)</t>
        </is>
      </c>
      <c r="B44" s="31" t="inlineStr">
        <is>
          <t>6</t>
        </is>
      </c>
      <c r="C44" s="32" t="inlineStr">
        <is>
          <t>2 engineers × $3,000/week</t>
        </is>
      </c>
      <c r="D44" s="32">
        <f>6*2*3000</f>
        <v/>
      </c>
      <c r="E44" s="21">
        <f>6*2*3000</f>
        <v/>
      </c>
      <c r="F44" s="31" t="inlineStr">
        <is>
          <t>Engineering</t>
        </is>
      </c>
      <c r="G44" s="32" t="inlineStr">
        <is>
          <t>Blueprint schema + decoration method config</t>
        </is>
      </c>
    </row>
    <row r="45">
      <c r="A45" s="26" t="inlineStr">
        <is>
          <t>Mockup Engineering (M3)</t>
        </is>
      </c>
      <c r="B45" s="31" t="inlineStr">
        <is>
          <t>4</t>
        </is>
      </c>
      <c r="C45" s="32" t="inlineStr">
        <is>
          <t>1 engineer × $3,000/week</t>
        </is>
      </c>
      <c r="D45" s="32">
        <f>4*1*3000</f>
        <v/>
      </c>
      <c r="E45" s="21">
        <f>4*1*3000</f>
        <v/>
      </c>
      <c r="F45" s="31" t="inlineStr">
        <is>
          <t>Engineering</t>
        </is>
      </c>
      <c r="G45" s="32" t="inlineStr">
        <is>
          <t>Static leather mockup — critical path item</t>
        </is>
      </c>
    </row>
    <row r="46">
      <c r="A46" s="26" t="inlineStr">
        <is>
          <t>Frontend Engineering (D1)</t>
        </is>
      </c>
      <c r="B46" s="31" t="inlineStr">
        <is>
          <t>2</t>
        </is>
      </c>
      <c r="C46" s="32" t="inlineStr">
        <is>
          <t>1 engineer × $3,000/week</t>
        </is>
      </c>
      <c r="D46" s="32">
        <f>2*1*3000</f>
        <v/>
      </c>
      <c r="E46" s="21">
        <f>2*1*3000</f>
        <v/>
      </c>
      <c r="F46" s="31" t="inlineStr">
        <is>
          <t>Engineering</t>
        </is>
      </c>
      <c r="G46" s="32" t="inlineStr">
        <is>
          <t>Decorator portal + progress tracker</t>
        </is>
      </c>
    </row>
    <row r="47">
      <c r="A47" s="26" t="inlineStr">
        <is>
          <t>Ops — HITL &amp; cert review</t>
        </is>
      </c>
      <c r="B47" s="31" t="inlineStr">
        <is>
          <t>12</t>
        </is>
      </c>
      <c r="C47" s="32" t="inlineStr">
        <is>
          <t>10h/week × $50/hour</t>
        </is>
      </c>
      <c r="D47" s="32">
        <f>12*10*50</f>
        <v/>
      </c>
      <c r="E47" s="21">
        <f>12*10*50</f>
        <v/>
      </c>
      <c r="F47" s="31" t="inlineStr">
        <is>
          <t>Operations</t>
        </is>
      </c>
      <c r="G47" s="32" t="inlineStr">
        <is>
          <t>Manual review queue + certificate verification</t>
        </is>
      </c>
    </row>
    <row r="48">
      <c r="A48" s="26" t="inlineStr">
        <is>
          <t>GTM &amp; co-marketing</t>
        </is>
      </c>
      <c r="B48" s="31" t="inlineStr">
        <is>
          <t>2</t>
        </is>
      </c>
      <c r="C48" s="32" t="inlineStr">
        <is>
          <t>Flat budget</t>
        </is>
      </c>
      <c r="D48" s="32">
        <f>5000</f>
        <v/>
      </c>
      <c r="E48" s="21">
        <f>5000</f>
        <v/>
      </c>
      <c r="F48" s="31" t="inlineStr">
        <is>
          <t>GTM</t>
        </is>
      </c>
      <c r="G48" s="32" t="inlineStr">
        <is>
          <t>Anchor merchant co-marketing + press note</t>
        </is>
      </c>
    </row>
    <row r="49">
      <c r="A49" s="33" t="inlineStr">
        <is>
          <t>TOTAL INVESTMENT</t>
        </is>
      </c>
      <c r="B49" s="34" t="inlineStr"/>
      <c r="C49" s="35" t="inlineStr"/>
      <c r="D49" s="36">
        <f>SUM above</f>
        <v/>
      </c>
      <c r="E49" s="37">
        <f>SUM(E44:E48)</f>
        <v/>
      </c>
      <c r="F49" s="34" t="inlineStr"/>
      <c r="G49" s="35" t="inlineStr">
        <is>
          <t>Sum of above items</t>
        </is>
      </c>
    </row>
  </sheetData>
  <mergeCells count="29">
    <mergeCell ref="A32:G32"/>
    <mergeCell ref="C23"/>
    <mergeCell ref="C15:G15"/>
    <mergeCell ref="A4:G4"/>
    <mergeCell ref="C14:G14"/>
    <mergeCell ref="C10:G10"/>
    <mergeCell ref="C16:G16"/>
    <mergeCell ref="A30:G30"/>
    <mergeCell ref="C24"/>
    <mergeCell ref="F19"/>
    <mergeCell ref="C9:G9"/>
    <mergeCell ref="A1:G1"/>
    <mergeCell ref="C12:G12"/>
    <mergeCell ref="C20"/>
    <mergeCell ref="C26"/>
    <mergeCell ref="A6:G6"/>
    <mergeCell ref="B19:C19"/>
    <mergeCell ref="C11:G11"/>
    <mergeCell ref="C25"/>
    <mergeCell ref="E19"/>
    <mergeCell ref="G19"/>
    <mergeCell ref="C8:G8"/>
    <mergeCell ref="C22"/>
    <mergeCell ref="C7:G7"/>
    <mergeCell ref="A18:G18"/>
    <mergeCell ref="C21"/>
    <mergeCell ref="A2:G2"/>
    <mergeCell ref="C13:G13"/>
    <mergeCell ref="A42:G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6" customWidth="1" min="5" max="5"/>
    <col width="16" customWidth="1" min="6" max="6"/>
    <col width="18" customWidth="1" min="7" max="7"/>
  </cols>
  <sheetData>
    <row r="1" ht="28" customHeight="1">
      <c r="A1" s="1" t="inlineStr">
        <is>
          <t>PROXY CASE  —  3-Track Validation  ·  Printify Premium Leather Goods USA</t>
        </is>
      </c>
    </row>
    <row r="2" ht="18" customHeight="1">
      <c r="A2" s="38" t="inlineStr">
        <is>
          <t>Purpose: validate business opportunity before engineering investment  |  All 3 tracks complete  |  Verdict: GO WITH CONDITIONS</t>
        </is>
      </c>
    </row>
    <row r="4" ht="20" customHeight="1">
      <c r="A4" s="39" t="inlineStr">
        <is>
          <t>TRACK A  —  Market Demand Research  (USA 2025)  ·  Verdict: STRONG</t>
        </is>
      </c>
    </row>
    <row r="5" ht="16" customHeight="1">
      <c r="A5" s="40" t="inlineStr">
        <is>
          <t>Question answered: Is there proven demand for custom premium leather goods in the USA?</t>
        </is>
      </c>
    </row>
    <row r="6">
      <c r="A6" s="7" t="inlineStr">
        <is>
          <t>Channel</t>
        </is>
      </c>
      <c r="B6" s="7" t="inlineStr">
        <is>
          <t>Search Term</t>
        </is>
      </c>
      <c r="C6" s="7" t="inlineStr">
        <is>
          <t>Avg Price</t>
        </is>
      </c>
      <c r="D6" s="7" t="inlineStr">
        <is>
          <t>Signal</t>
        </is>
      </c>
      <c r="E6" s="7" t="inlineStr">
        <is>
          <t>Est. Monthly Searches</t>
        </is>
      </c>
      <c r="F6" s="7" t="inlineStr">
        <is>
          <t>Source (data type)</t>
        </is>
      </c>
      <c r="G6" s="7" t="inlineStr">
        <is>
          <t>Seasonality</t>
        </is>
      </c>
    </row>
    <row r="7">
      <c r="A7" s="26" t="inlineStr">
        <is>
          <t>Etsy USA</t>
        </is>
      </c>
      <c r="B7" s="26" t="inlineStr">
        <is>
          <t>"custom leather wallet"</t>
        </is>
      </c>
      <c r="C7" s="26" t="inlineStr">
        <is>
          <t>$35–70</t>
        </is>
      </c>
      <c r="D7" s="41" t="inlineStr">
        <is>
          <t>★★★ HIGH</t>
        </is>
      </c>
      <c r="E7" s="26" t="inlineStr">
        <is>
          <t>High</t>
        </is>
      </c>
      <c r="F7" s="26" t="inlineStr">
        <is>
          <t>eRank 2025 — REAL DATA</t>
        </is>
      </c>
      <c r="G7" s="26" t="inlineStr">
        <is>
          <t>Nov-Dec +57% search growth</t>
        </is>
      </c>
    </row>
    <row r="8">
      <c r="A8" s="26" t="inlineStr">
        <is>
          <t>Etsy USA</t>
        </is>
      </c>
      <c r="B8" s="26" t="inlineStr">
        <is>
          <t>"personalized leather bag"</t>
        </is>
      </c>
      <c r="C8" s="26" t="inlineStr">
        <is>
          <t>$55–120</t>
        </is>
      </c>
      <c r="D8" s="41" t="inlineStr">
        <is>
          <t>★★★ HIGH</t>
        </is>
      </c>
      <c r="E8" s="26" t="inlineStr">
        <is>
          <t>High</t>
        </is>
      </c>
      <c r="F8" s="26" t="inlineStr">
        <is>
          <t>ShelfTrend 2025 — REAL DATA</t>
        </is>
      </c>
      <c r="G8" s="26" t="inlineStr">
        <is>
          <t>$130–270K weekly GMV on-platform</t>
        </is>
      </c>
    </row>
    <row r="9">
      <c r="A9" s="26" t="inlineStr">
        <is>
          <t>Etsy USA</t>
        </is>
      </c>
      <c r="B9" s="26" t="inlineStr">
        <is>
          <t>"engraved leather keychain"</t>
        </is>
      </c>
      <c r="C9" s="26" t="inlineStr">
        <is>
          <t>$15–35</t>
        </is>
      </c>
      <c r="D9" s="41" t="inlineStr">
        <is>
          <t>★★★ HIGH</t>
        </is>
      </c>
      <c r="E9" s="26" t="inlineStr">
        <is>
          <t>High</t>
        </is>
      </c>
      <c r="F9" s="26" t="inlineStr">
        <is>
          <t>eRank 2025 — REAL DATA</t>
        </is>
      </c>
      <c r="G9" s="26" t="inlineStr">
        <is>
          <t>Nov-Dec gifting peak</t>
        </is>
      </c>
    </row>
    <row r="10">
      <c r="A10" s="26" t="inlineStr">
        <is>
          <t>Amazon USA</t>
        </is>
      </c>
      <c r="B10" s="26" t="inlineStr">
        <is>
          <t>"custom leather wallet"</t>
        </is>
      </c>
      <c r="C10" s="26" t="inlineStr">
        <is>
          <t>$30–65</t>
        </is>
      </c>
      <c r="D10" s="41" t="inlineStr">
        <is>
          <t>★★★ HIGH</t>
        </is>
      </c>
      <c r="E10" s="26" t="inlineStr">
        <is>
          <t>8,365 u/mo</t>
        </is>
      </c>
      <c r="F10" s="26" t="inlineStr">
        <is>
          <t>accio.com — REAL DATA</t>
        </is>
      </c>
      <c r="G10" s="26" t="inlineStr">
        <is>
          <t>Top BSR SKU confirmed</t>
        </is>
      </c>
    </row>
    <row r="11">
      <c r="A11" s="26" t="inlineStr">
        <is>
          <t>Amazon USA</t>
        </is>
      </c>
      <c r="B11" s="26" t="inlineStr">
        <is>
          <t>"personalized leather gifts"</t>
        </is>
      </c>
      <c r="C11" s="26" t="inlineStr">
        <is>
          <t>$22–65</t>
        </is>
      </c>
      <c r="D11" s="41" t="inlineStr">
        <is>
          <t>★★★ HIGH</t>
        </is>
      </c>
      <c r="E11" s="26" t="inlineStr">
        <is>
          <t>High</t>
        </is>
      </c>
      <c r="F11" s="26" t="inlineStr">
        <is>
          <t>AmzChart — REAL DATA</t>
        </is>
      </c>
      <c r="G11" s="26" t="inlineStr">
        <is>
          <t>1.5–3.5× AOV vs apparel</t>
        </is>
      </c>
    </row>
    <row r="12">
      <c r="A12" s="26" t="inlineStr">
        <is>
          <t>TikTok Shop</t>
        </is>
      </c>
      <c r="B12" s="26" t="inlineStr">
        <is>
          <t>"laser engraved leather"</t>
        </is>
      </c>
      <c r="C12" s="26" t="inlineStr">
        <is>
          <t>$25–45</t>
        </is>
      </c>
      <c r="D12" s="41" t="inlineStr">
        <is>
          <t>★★★ HIGH</t>
        </is>
      </c>
      <c r="E12" s="26" t="inlineStr">
        <is>
          <t>Viral</t>
        </is>
      </c>
      <c r="F12" s="26" t="inlineStr">
        <is>
          <t>TikTok Shop — REAL DATA</t>
        </is>
      </c>
      <c r="G12" s="26" t="inlineStr">
        <is>
          <t>60–80% gross margin on $5 blank</t>
        </is>
      </c>
    </row>
    <row r="14" ht="16" customHeight="1">
      <c r="A14" s="42" t="inlineStr">
        <is>
          <t>A — Key Market Facts</t>
        </is>
      </c>
    </row>
    <row r="15">
      <c r="A15" s="7" t="inlineStr">
        <is>
          <t>Metric</t>
        </is>
      </c>
      <c r="B15" s="7" t="inlineStr">
        <is>
          <t>Value</t>
        </is>
      </c>
      <c r="C15" s="7" t="inlineStr">
        <is>
          <t>Metric</t>
        </is>
      </c>
      <c r="D15" s="7" t="inlineStr">
        <is>
          <t>Value</t>
        </is>
      </c>
      <c r="E15" s="43" t="inlineStr"/>
    </row>
    <row r="16">
      <c r="A16" s="44" t="inlineStr">
        <is>
          <t>USA Leather Goods Market</t>
        </is>
      </c>
      <c r="B16" s="45" t="inlineStr">
        <is>
          <t>$54B (2024)</t>
        </is>
      </c>
      <c r="C16" s="44" t="inlineStr">
        <is>
          <t>Leather Wallet CAGR 2023–2030</t>
        </is>
      </c>
      <c r="D16" s="45" t="inlineStr">
        <is>
          <t>9.5%</t>
        </is>
      </c>
    </row>
    <row r="17">
      <c r="A17" s="44" t="inlineStr">
        <is>
          <t>Custom/Personalized TAM</t>
        </is>
      </c>
      <c r="B17" s="45" t="inlineStr">
        <is>
          <t>$2–3B [EST]</t>
        </is>
      </c>
      <c r="C17" s="44" t="inlineStr">
        <is>
          <t>POD-Compatible Segment</t>
        </is>
      </c>
      <c r="D17" s="45" t="inlineStr">
        <is>
          <t>$600M–1.2B [EST]</t>
        </is>
      </c>
    </row>
    <row r="18">
      <c r="A18" s="44" t="inlineStr">
        <is>
          <t>AOV Premium vs Apparel</t>
        </is>
      </c>
      <c r="B18" s="45" t="inlineStr">
        <is>
          <t>1.5–3.5×</t>
        </is>
      </c>
      <c r="C18" s="44" t="inlineStr">
        <is>
          <t>Personalized Gifts Market USA</t>
        </is>
      </c>
      <c r="D18" s="45" t="inlineStr">
        <is>
          <t>$9.7B · +7% CAGR</t>
        </is>
      </c>
    </row>
    <row r="19">
      <c r="A19" s="44" t="inlineStr">
        <is>
          <t>Consumers Paying Engr. Premium</t>
        </is>
      </c>
      <c r="B19" s="45" t="inlineStr">
        <is>
          <t>42%</t>
        </is>
      </c>
      <c r="C19" s="44" t="inlineStr">
        <is>
          <t>First-Mover Window</t>
        </is>
      </c>
      <c r="D19" s="45" t="inlineStr">
        <is>
          <t>~18 months [EST]</t>
        </is>
      </c>
    </row>
    <row r="22" ht="20" customHeight="1">
      <c r="A22" s="46" t="inlineStr">
        <is>
          <t>TRACK B  —  Business Case Validation  ·  Verdict: GO WITH CONDITIONS</t>
        </is>
      </c>
    </row>
    <row r="23" ht="16" customHeight="1">
      <c r="A23" s="47" t="inlineStr">
        <is>
          <t>Question answered: Does the revenue opportunity justify the engineering investment?</t>
        </is>
      </c>
    </row>
    <row r="24">
      <c r="A24" s="7" t="inlineStr">
        <is>
          <t>Competitor</t>
        </is>
      </c>
      <c r="B24" s="7" t="inlineStr">
        <is>
          <t>Genuine Leather</t>
        </is>
      </c>
      <c r="C24" s="7" t="inlineStr">
        <is>
          <t>Decoration Methods</t>
        </is>
      </c>
      <c r="D24" s="7" t="inlineStr">
        <is>
          <t>Threat</t>
        </is>
      </c>
      <c r="E24" s="7" t="inlineStr">
        <is>
          <t>Source</t>
        </is>
      </c>
      <c r="F24" s="48" t="n"/>
      <c r="G24" s="13" t="n"/>
    </row>
    <row r="25">
      <c r="A25" s="8" t="inlineStr">
        <is>
          <t>Gelato</t>
        </is>
      </c>
      <c r="B25" s="8" t="inlineStr">
        <is>
          <t>None</t>
        </is>
      </c>
      <c r="C25" s="8" t="inlineStr">
        <is>
          <t>None</t>
        </is>
      </c>
      <c r="D25" s="27" t="inlineStr">
        <is>
          <t>NONE</t>
        </is>
      </c>
      <c r="E25" s="8" t="inlineStr">
        <is>
          <t>Gelato catalog Aug 2025 — REAL</t>
        </is>
      </c>
      <c r="F25" s="48" t="n"/>
      <c r="G25" s="13" t="n"/>
    </row>
    <row r="26">
      <c r="A26" s="8" t="inlineStr">
        <is>
          <t>Printful</t>
        </is>
      </c>
      <c r="B26" s="8" t="inlineStr">
        <is>
          <t>PU/faux only</t>
        </is>
      </c>
      <c r="C26" s="8" t="inlineStr">
        <is>
          <t>Sublimation only</t>
        </is>
      </c>
      <c r="D26" s="27" t="inlineStr">
        <is>
          <t>LOW</t>
        </is>
      </c>
      <c r="E26" s="8" t="inlineStr">
        <is>
          <t>Printful catalog Aug 2025 — REAL</t>
        </is>
      </c>
      <c r="F26" s="48" t="n"/>
      <c r="G26" s="13" t="n"/>
    </row>
    <row r="27">
      <c r="A27" s="8" t="inlineStr">
        <is>
          <t>Gooten</t>
        </is>
      </c>
      <c r="B27" s="8" t="inlineStr">
        <is>
          <t>None</t>
        </is>
      </c>
      <c r="C27" s="8" t="inlineStr">
        <is>
          <t>None</t>
        </is>
      </c>
      <c r="D27" s="27" t="inlineStr">
        <is>
          <t>NONE</t>
        </is>
      </c>
      <c r="E27" s="8" t="inlineStr">
        <is>
          <t>Gooten catalog Aug 2025 — REAL</t>
        </is>
      </c>
      <c r="F27" s="48" t="n"/>
      <c r="G27" s="13" t="n"/>
    </row>
    <row r="28">
      <c r="A28" s="8" t="inlineStr">
        <is>
          <t>CustomCat</t>
        </is>
      </c>
      <c r="B28" s="8" t="inlineStr">
        <is>
          <t>None</t>
        </is>
      </c>
      <c r="C28" s="8" t="inlineStr">
        <is>
          <t>None</t>
        </is>
      </c>
      <c r="D28" s="27" t="inlineStr">
        <is>
          <t>NONE</t>
        </is>
      </c>
      <c r="E28" s="8" t="inlineStr">
        <is>
          <t>CustomCat catalog Aug 2025 — REAL</t>
        </is>
      </c>
      <c r="F28" s="48" t="n"/>
      <c r="G28" s="13" t="n"/>
    </row>
    <row r="29">
      <c r="A29" s="8" t="inlineStr">
        <is>
          <t>Zazzle</t>
        </is>
      </c>
      <c r="B29" s="8" t="inlineStr">
        <is>
          <t>Limited (D2C)</t>
        </is>
      </c>
      <c r="C29" s="8" t="inlineStr">
        <is>
          <t>Basic print</t>
        </is>
      </c>
      <c r="D29" s="28" t="inlineStr">
        <is>
          <t>INDIRECT</t>
        </is>
      </c>
      <c r="E29" s="8" t="inlineStr">
        <is>
          <t>Zazzle marketplace — different channel</t>
        </is>
      </c>
      <c r="F29" s="48" t="n"/>
      <c r="G29" s="13" t="n"/>
    </row>
    <row r="31" ht="16" customHeight="1">
      <c r="A31" s="42" t="inlineStr">
        <is>
          <t>B — Financial Model Summary</t>
        </is>
      </c>
    </row>
    <row r="32">
      <c r="A32" s="7" t="inlineStr">
        <is>
          <t>Metric</t>
        </is>
      </c>
      <c r="B32" s="7" t="inlineStr">
        <is>
          <t>Conservative (50%)</t>
        </is>
      </c>
      <c r="C32" s="7" t="inlineStr">
        <is>
          <t>Base Case</t>
        </is>
      </c>
      <c r="D32" s="7" t="inlineStr">
        <is>
          <t>Optimistic (150%)</t>
        </is>
      </c>
      <c r="E32" s="7" t="inlineStr">
        <is>
          <t>Unit</t>
        </is>
      </c>
      <c r="F32" s="48" t="n"/>
      <c r="G32" s="13" t="n"/>
    </row>
    <row r="33">
      <c r="A33" s="8" t="inlineStr">
        <is>
          <t>Total SKUs</t>
        </is>
      </c>
      <c r="B33" s="17" t="n">
        <v>750</v>
      </c>
      <c r="C33" s="17" t="n">
        <v>1500</v>
      </c>
      <c r="D33" s="17" t="n">
        <v>2250</v>
      </c>
      <c r="E33" s="49" t="inlineStr">
        <is>
          <t>SKUs</t>
        </is>
      </c>
    </row>
    <row r="34">
      <c r="A34" s="8" t="inlineStr">
        <is>
          <t>Monthly Orders</t>
        </is>
      </c>
      <c r="B34" s="17" t="n">
        <v>37500</v>
      </c>
      <c r="C34" s="17" t="n">
        <v>75000</v>
      </c>
      <c r="D34" s="17" t="n">
        <v>112500</v>
      </c>
      <c r="E34" s="49" t="inlineStr">
        <is>
          <t>orders</t>
        </is>
      </c>
    </row>
    <row r="35">
      <c r="A35" s="8" t="inlineStr">
        <is>
          <t>Monthly Platform Margin</t>
        </is>
      </c>
      <c r="B35" s="21" t="n">
        <v>187500</v>
      </c>
      <c r="C35" s="21" t="n">
        <v>375000</v>
      </c>
      <c r="D35" s="21" t="n">
        <v>562500</v>
      </c>
      <c r="E35" s="49" t="inlineStr">
        <is>
          <t>$</t>
        </is>
      </c>
    </row>
    <row r="36">
      <c r="A36" s="18" t="inlineStr">
        <is>
          <t>Annual Platform Margin</t>
        </is>
      </c>
      <c r="B36" s="11" t="n">
        <v>2250000</v>
      </c>
      <c r="C36" s="20" t="n">
        <v>4500000</v>
      </c>
      <c r="D36" s="11" t="n">
        <v>6750000</v>
      </c>
      <c r="E36" s="49" t="inlineStr">
        <is>
          <t>$</t>
        </is>
      </c>
    </row>
    <row r="37">
      <c r="A37" s="18" t="inlineStr">
        <is>
          <t>Total Investment</t>
        </is>
      </c>
      <c r="B37" s="11" t="n">
        <v>203600</v>
      </c>
      <c r="C37" s="11" t="n">
        <v>203600</v>
      </c>
      <c r="D37" s="11" t="n">
        <v>203600</v>
      </c>
      <c r="E37" s="49" t="inlineStr">
        <is>
          <t>$</t>
        </is>
      </c>
    </row>
    <row r="38">
      <c r="A38" s="18" t="inlineStr">
        <is>
          <t>Payback from Kickoff</t>
        </is>
      </c>
      <c r="B38" s="23" t="n">
        <v>14</v>
      </c>
      <c r="C38" s="23" t="n">
        <v>7</v>
      </c>
      <c r="D38" s="23" t="n">
        <v>5</v>
      </c>
      <c r="E38" s="49" t="inlineStr">
        <is>
          <t>months</t>
        </is>
      </c>
    </row>
    <row r="41" ht="20" customHeight="1">
      <c r="A41" s="50" t="inlineStr">
        <is>
          <t>TRACK C  —  Launch Option Scoring  ·  Winner: LEAN MVP (15/20)</t>
        </is>
      </c>
    </row>
    <row r="42" ht="16" customHeight="1">
      <c r="A42" s="51" t="inlineStr">
        <is>
          <t>Question answered: If we go, which option fits Printify best?</t>
        </is>
      </c>
    </row>
    <row r="43">
      <c r="A43" s="7" t="inlineStr">
        <is>
          <t>Option</t>
        </is>
      </c>
      <c r="B43" s="7" t="inlineStr">
        <is>
          <t>Impact (1–5)</t>
        </is>
      </c>
      <c r="C43" s="7" t="inlineStr">
        <is>
          <t>Strategic Fit</t>
        </is>
      </c>
      <c r="D43" s="7" t="inlineStr">
        <is>
          <t>Effort</t>
        </is>
      </c>
      <c r="E43" s="7" t="inlineStr">
        <is>
          <t>Risk</t>
        </is>
      </c>
      <c r="F43" s="7" t="inlineStr">
        <is>
          <t>TOTAL</t>
        </is>
      </c>
      <c r="G43" s="7" t="inlineStr">
        <is>
          <t>Verdict</t>
        </is>
      </c>
    </row>
    <row r="44">
      <c r="A44" s="26" t="inlineStr">
        <is>
          <t>1 — POC First ($5K · 3w)</t>
        </is>
      </c>
      <c r="B44" s="31" t="n">
        <v>2</v>
      </c>
      <c r="C44" s="31" t="n">
        <v>2</v>
      </c>
      <c r="D44" s="31" t="n">
        <v>1</v>
      </c>
      <c r="E44" s="31" t="n">
        <v>1</v>
      </c>
      <c r="F44" s="52" t="n">
        <v>14</v>
      </c>
      <c r="G44" s="26" t="inlineStr">
        <is>
          <t>Not standalone</t>
        </is>
      </c>
    </row>
    <row r="45">
      <c r="A45" s="41" t="inlineStr">
        <is>
          <t>2 — Lean MVP (~$53K · 12–14w)</t>
        </is>
      </c>
      <c r="B45" s="27" t="n">
        <v>4</v>
      </c>
      <c r="C45" s="27" t="n">
        <v>4</v>
      </c>
      <c r="D45" s="27" t="n">
        <v>3</v>
      </c>
      <c r="E45" s="27" t="n">
        <v>2</v>
      </c>
      <c r="F45" s="53" t="n">
        <v>15</v>
      </c>
      <c r="G45" s="41" t="inlineStr">
        <is>
          <t>✓ Recommended</t>
        </is>
      </c>
    </row>
    <row r="46">
      <c r="A46" s="26" t="inlineStr">
        <is>
          <t>3 — Full Build ($80–100K · 16–20w)</t>
        </is>
      </c>
      <c r="B46" s="31" t="n">
        <v>5</v>
      </c>
      <c r="C46" s="31" t="n">
        <v>5</v>
      </c>
      <c r="D46" s="31" t="n">
        <v>5</v>
      </c>
      <c r="E46" s="31" t="n">
        <v>4</v>
      </c>
      <c r="F46" s="52" t="n">
        <v>13</v>
      </c>
      <c r="G46" s="26" t="inlineStr">
        <is>
          <t>Premature</t>
        </is>
      </c>
    </row>
    <row r="48" ht="24" customHeight="1">
      <c r="A48" s="25" t="inlineStr">
        <is>
          <t>Kill criteria: Stop if &lt;3 Decorators live by Week 6  ·  OR  ·  time-to-live &gt;48h consistently  ·  OR  ·  merchant NPS &lt;5 at 90 days</t>
        </is>
      </c>
    </row>
    <row r="50" ht="22" customHeight="1">
      <c r="A50" s="54" t="inlineStr">
        <is>
          <t>SYNTHESIS  —  GO / NO-GO RECOMMENDATION</t>
        </is>
      </c>
    </row>
    <row r="51" ht="24" customHeight="1">
      <c r="A51" s="55" t="inlineStr">
        <is>
          <t>VERDICT:  GO WITH CONDITIONS</t>
        </is>
      </c>
    </row>
    <row r="52" ht="16" customHeight="1">
      <c r="A52" s="42" t="inlineStr">
        <is>
          <t>1 — Demand (Track A)</t>
        </is>
      </c>
      <c r="C52" s="8" t="inlineStr">
        <is>
          <t>Leather wallet CAGR 9.5%, Amazon top SKU 8,365 units/month, 42% of US consumers pay engraving premium. AOV 1.5–3.5× over apparel.</t>
        </is>
      </c>
    </row>
    <row r="53" ht="16" customHeight="1">
      <c r="A53" s="42" t="inlineStr">
        <is>
          <t>2 — Competitive whitespace (Track B)</t>
        </is>
      </c>
      <c r="C53" s="8" t="inlineStr">
        <is>
          <t>Gelato: 0 leather. Printful: PU-only. No major POD platform offers genuine leather + personalization at scale. First-mover window ~18 months.</t>
        </is>
      </c>
    </row>
    <row r="54" ht="16" customHeight="1">
      <c r="A54" s="42" t="inlineStr">
        <is>
          <t>3 — ROI (Track B/C)</t>
        </is>
      </c>
      <c r="C54" s="8" t="inlineStr">
        <is>
          <t>~7-month payback at base case. $203K investment vs $4.5M annual platform margin. Lean MVP (Option 2) at $53K reduces risk vs Full Build.</t>
        </is>
      </c>
    </row>
    <row r="55" ht="16" customHeight="1">
      <c r="A55" s="56" t="inlineStr">
        <is>
          <t>Condition to validate</t>
        </is>
      </c>
      <c r="C55" s="57" t="inlineStr">
        <is>
          <t>50 orders/SKU/month drives 100% of the model. Gate: 2-Decorator pilot → &gt;50 consumer orders in 30 days before full engineering commitment.</t>
        </is>
      </c>
    </row>
    <row r="57" ht="28" customHeight="1">
      <c r="A57" s="58" t="inlineStr">
        <is>
          <t>Recommended first action: Approve Q1 2026 roadmap inclusion — Lean MVP — 2 BE + 1 Mockup + 1 FE — 12–14 weeks starting January 2026. Gate at Week 6.</t>
        </is>
      </c>
    </row>
  </sheetData>
  <mergeCells count="36">
    <mergeCell ref="A14:G14"/>
    <mergeCell ref="E28:G28"/>
    <mergeCell ref="A22:G22"/>
    <mergeCell ref="A4:G4"/>
    <mergeCell ref="E34:G34"/>
    <mergeCell ref="A42:G42"/>
    <mergeCell ref="E15:G15"/>
    <mergeCell ref="A54:B54"/>
    <mergeCell ref="E36:G36"/>
    <mergeCell ref="E27:G27"/>
    <mergeCell ref="A31:G31"/>
    <mergeCell ref="C54:G54"/>
    <mergeCell ref="A48:G48"/>
    <mergeCell ref="E26:G26"/>
    <mergeCell ref="C55:G55"/>
    <mergeCell ref="A51:G51"/>
    <mergeCell ref="E25:G25"/>
    <mergeCell ref="A55:B55"/>
    <mergeCell ref="E32:G32"/>
    <mergeCell ref="A1:G1"/>
    <mergeCell ref="E38:G38"/>
    <mergeCell ref="E37:G37"/>
    <mergeCell ref="A41:G41"/>
    <mergeCell ref="C52:G52"/>
    <mergeCell ref="A53:B53"/>
    <mergeCell ref="E24:G24"/>
    <mergeCell ref="E33:G33"/>
    <mergeCell ref="A52:B52"/>
    <mergeCell ref="A50:G50"/>
    <mergeCell ref="A2:G2"/>
    <mergeCell ref="E35:G35"/>
    <mergeCell ref="C53:G53"/>
    <mergeCell ref="A57:G57"/>
    <mergeCell ref="E29:G29"/>
    <mergeCell ref="A5:G5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</cols>
  <sheetData>
    <row r="1" ht="28" customHeight="1">
      <c r="A1" s="1" t="inlineStr">
        <is>
          <t>OKRs  —  Premium Leather Goods Initiative  ·  Printify Supply Pillar</t>
        </is>
      </c>
    </row>
    <row r="2" ht="18" customHeight="1">
      <c r="A2" s="38" t="inlineStr">
        <is>
          <t>Period: Q1 2026 (Launch) through Q3 2026 (Steady State)  |  Owner: Supply PM</t>
        </is>
      </c>
    </row>
    <row r="3" ht="18" customHeight="1">
      <c r="A3" s="5" t="inlineStr">
        <is>
          <t>Instructions: enter actual values in YELLOW cells. Progress % calculates automatically. Status = On Track (≥80%) / At Risk (50–79%) / Off Track (&lt;50%).</t>
        </is>
      </c>
    </row>
    <row r="5" ht="22" customHeight="1">
      <c r="A5" s="59" t="inlineStr">
        <is>
          <t>OBJECTIVE 1:  O1 — Validate Market Demand</t>
        </is>
      </c>
    </row>
    <row r="6" ht="16" customHeight="1">
      <c r="A6" s="60" t="inlineStr">
        <is>
          <t>Confirm genuine demand signal and Decorator readiness before committing full engineering scope.</t>
        </is>
      </c>
    </row>
    <row r="7">
      <c r="A7" s="7" t="inlineStr">
        <is>
          <t>Key Result</t>
        </is>
      </c>
      <c r="B7" s="7" t="inlineStr">
        <is>
          <t>Target</t>
        </is>
      </c>
      <c r="C7" s="7" t="inlineStr">
        <is>
          <t>Unit</t>
        </is>
      </c>
      <c r="D7" s="7" t="inlineStr">
        <is>
          <t>Actual</t>
        </is>
      </c>
      <c r="E7" s="7" t="inlineStr">
        <is>
          <t>Progress</t>
        </is>
      </c>
      <c r="F7" s="7" t="inlineStr">
        <is>
          <t>Status</t>
        </is>
      </c>
      <c r="G7" s="7" t="inlineStr">
        <is>
          <t>Notes</t>
        </is>
      </c>
    </row>
    <row r="8">
      <c r="A8" s="8" t="inlineStr">
        <is>
          <t>[KR 1.1]  Decorators committed to leather catalog during closed beta</t>
        </is>
      </c>
      <c r="B8" s="61" t="n">
        <v>3</v>
      </c>
      <c r="C8" s="62" t="inlineStr">
        <is>
          <t>Decorators</t>
        </is>
      </c>
      <c r="D8" s="63" t="inlineStr"/>
      <c r="E8" s="64">
        <f>IF(D8="","",IF(B8=0,1,MIN(1,D8/B8)))</f>
        <v/>
      </c>
      <c r="F8" s="65">
        <f>IF(D8="","–",IF(E8&gt;=0.8,"✓ On Track",IF(E8&gt;=0.5,"⚠ At Risk","✗ Off Track")))</f>
        <v/>
      </c>
      <c r="G8" s="10" t="inlineStr">
        <is>
          <t>Week 6 gate</t>
        </is>
      </c>
    </row>
    <row r="9">
      <c r="A9" s="8" t="inlineStr">
        <is>
          <t>[KR 1.2]  Consumer orders in pilot 30-day window (gate: &gt;50)</t>
        </is>
      </c>
      <c r="B9" s="61" t="n">
        <v>50</v>
      </c>
      <c r="C9" s="62" t="inlineStr">
        <is>
          <t>Orders</t>
        </is>
      </c>
      <c r="D9" s="63" t="inlineStr"/>
      <c r="E9" s="64">
        <f>IF(D9="","",IF(B9=0,1,MIN(1,D9/B9)))</f>
        <v/>
      </c>
      <c r="F9" s="65">
        <f>IF(D9="","–",IF(E9&gt;=0.8,"✓ On Track",IF(E9&gt;=0.5,"⚠ At Risk","✗ Off Track")))</f>
        <v/>
      </c>
      <c r="G9" s="10" t="inlineStr">
        <is>
          <t>Day 30 gate — model validation</t>
        </is>
      </c>
    </row>
    <row r="10">
      <c r="A10" s="8" t="inlineStr">
        <is>
          <t>[KR 1.3]  Avg leather SKU time-to-live (target: &lt;24h)</t>
        </is>
      </c>
      <c r="B10" s="61" t="n">
        <v>24</v>
      </c>
      <c r="C10" s="62" t="inlineStr">
        <is>
          <t>Hours</t>
        </is>
      </c>
      <c r="D10" s="63" t="inlineStr"/>
      <c r="E10" s="64">
        <f>IF(D10="","",IF(B10=0,1,MAX(0,MIN(1,B10/D10))))</f>
        <v/>
      </c>
      <c r="F10" s="65">
        <f>IF(D10="","–",IF(E10&gt;=0.8,"✓ On Track",IF(E10&gt;=0.5,"⚠ At Risk","✗ Off Track")))</f>
        <v/>
      </c>
      <c r="G10" s="10" t="inlineStr">
        <is>
          <t>Lower is better — invert progress</t>
        </is>
      </c>
    </row>
    <row r="11">
      <c r="A11" s="8" t="inlineStr">
        <is>
          <t>[KR 1.4]  Decorator data quality score (% SKUs passing validation first try)</t>
        </is>
      </c>
      <c r="B11" s="61" t="n">
        <v>70</v>
      </c>
      <c r="C11" s="62" t="inlineStr">
        <is>
          <t>% pass</t>
        </is>
      </c>
      <c r="D11" s="63" t="inlineStr"/>
      <c r="E11" s="64">
        <f>IF(D11="","",IF(B11=0,1,MIN(1,D11/B11)))</f>
        <v/>
      </c>
      <c r="F11" s="65">
        <f>IF(D11="","–",IF(E11&gt;=0.8,"✓ On Track",IF(E11&gt;=0.5,"⚠ At Risk","✗ Off Track")))</f>
        <v/>
      </c>
      <c r="G11" s="10" t="inlineStr">
        <is>
          <t>Baseline for auto-approval model</t>
        </is>
      </c>
    </row>
    <row r="13" ht="22" customHeight="1">
      <c r="A13" s="66" t="inlineStr">
        <is>
          <t>OBJECTIVE 2:  O2 — Launch Lean MVP On Time and On Budget</t>
        </is>
      </c>
    </row>
    <row r="14" ht="16" customHeight="1">
      <c r="A14" s="67" t="inlineStr">
        <is>
          <t>Ship the Lean MVP (P0 features) within 12–14 weeks and under $53K engineering budget.</t>
        </is>
      </c>
    </row>
    <row r="15">
      <c r="A15" s="7" t="inlineStr">
        <is>
          <t>Key Result</t>
        </is>
      </c>
      <c r="B15" s="7" t="inlineStr">
        <is>
          <t>Target</t>
        </is>
      </c>
      <c r="C15" s="7" t="inlineStr">
        <is>
          <t>Unit</t>
        </is>
      </c>
      <c r="D15" s="7" t="inlineStr">
        <is>
          <t>Actual</t>
        </is>
      </c>
      <c r="E15" s="7" t="inlineStr">
        <is>
          <t>Progress</t>
        </is>
      </c>
      <c r="F15" s="7" t="inlineStr">
        <is>
          <t>Status</t>
        </is>
      </c>
      <c r="G15" s="7" t="inlineStr">
        <is>
          <t>Notes</t>
        </is>
      </c>
    </row>
    <row r="16">
      <c r="A16" s="8" t="inlineStr">
        <is>
          <t>[KR 2.1]  MVP shipped within 14-week timeline (weeks to launch)</t>
        </is>
      </c>
      <c r="B16" s="61" t="n">
        <v>14</v>
      </c>
      <c r="C16" s="62" t="inlineStr">
        <is>
          <t>Weeks</t>
        </is>
      </c>
      <c r="D16" s="63" t="inlineStr"/>
      <c r="E16" s="64">
        <f>IF(D16="","",IF(B16=0,1,MAX(0,MIN(1,B16/D16))))</f>
        <v/>
      </c>
      <c r="F16" s="65">
        <f>IF(D16="","–",IF(E16&gt;=0.8,"✓ On Track",IF(E16&gt;=0.5,"⚠ At Risk","✗ Off Track")))</f>
        <v/>
      </c>
      <c r="G16" s="10" t="inlineStr">
        <is>
          <t>Track against plan — lower is better</t>
        </is>
      </c>
    </row>
    <row r="17">
      <c r="A17" s="8" t="inlineStr">
        <is>
          <t>[KR 2.2]  Engineering budget variance (target: ≤10% over budget)</t>
        </is>
      </c>
      <c r="B17" s="61" t="n">
        <v>10</v>
      </c>
      <c r="C17" s="62" t="inlineStr">
        <is>
          <t>% variance</t>
        </is>
      </c>
      <c r="D17" s="63" t="inlineStr"/>
      <c r="E17" s="64">
        <f>IF(D17="","",IF(B17=0,1,MAX(0,MIN(1,B17/D17))))</f>
        <v/>
      </c>
      <c r="F17" s="65">
        <f>IF(D17="","–",IF(E17&gt;=0.8,"✓ On Track",IF(E17&gt;=0.5,"⚠ At Risk","✗ Off Track")))</f>
        <v/>
      </c>
      <c r="G17" s="10" t="inlineStr">
        <is>
          <t>Lower is better — budget discipline</t>
        </is>
      </c>
    </row>
    <row r="18">
      <c r="A18" s="8" t="inlineStr">
        <is>
          <t>[KR 2.3]  P0 features delivered at launch (D1, C1, C2, C4, M1, M3)</t>
        </is>
      </c>
      <c r="B18" s="61" t="n">
        <v>6</v>
      </c>
      <c r="C18" s="62" t="inlineStr">
        <is>
          <t>Features</t>
        </is>
      </c>
      <c r="D18" s="63" t="inlineStr"/>
      <c r="E18" s="64">
        <f>IF(D18="","",IF(B18=0,1,MIN(1,D18/B18)))</f>
        <v/>
      </c>
      <c r="F18" s="65">
        <f>IF(D18="","–",IF(E18&gt;=0.8,"✓ On Track",IF(E18&gt;=0.5,"⚠ At Risk","✗ Off Track")))</f>
        <v/>
      </c>
      <c r="G18" s="10" t="inlineStr">
        <is>
          <t>All 6 P0 features must ship</t>
        </is>
      </c>
    </row>
    <row r="19">
      <c r="A19" s="8" t="inlineStr">
        <is>
          <t>[KR 2.4]  ECO certifications verified for pilot Decorators (LWG + OEKO-TEX)</t>
        </is>
      </c>
      <c r="B19" s="61" t="n">
        <v>2</v>
      </c>
      <c r="C19" s="62" t="inlineStr">
        <is>
          <t>Certs</t>
        </is>
      </c>
      <c r="D19" s="63" t="inlineStr"/>
      <c r="E19" s="64">
        <f>IF(D19="","",IF(B19=0,1,MIN(1,D19/B19)))</f>
        <v/>
      </c>
      <c r="F19" s="65">
        <f>IF(D19="","–",IF(E19&gt;=0.8,"✓ On Track",IF(E19&gt;=0.5,"⚠ At Risk","✗ Off Track")))</f>
        <v/>
      </c>
      <c r="G19" s="10" t="inlineStr">
        <is>
          <t>Per Decorator — minimum 2 cert types</t>
        </is>
      </c>
    </row>
    <row r="21" ht="22" customHeight="1">
      <c r="A21" s="68" t="inlineStr">
        <is>
          <t>OBJECTIVE 3:  O3 — Achieve Decorator &amp; Catalog Scale</t>
        </is>
      </c>
    </row>
    <row r="22" ht="16" customHeight="1">
      <c r="A22" s="69" t="inlineStr">
        <is>
          <t>Reach catalog scale and Decorator self-service quality targets by end of Q2 2026.</t>
        </is>
      </c>
    </row>
    <row r="23">
      <c r="A23" s="7" t="inlineStr">
        <is>
          <t>Key Result</t>
        </is>
      </c>
      <c r="B23" s="7" t="inlineStr">
        <is>
          <t>Target</t>
        </is>
      </c>
      <c r="C23" s="7" t="inlineStr">
        <is>
          <t>Unit</t>
        </is>
      </c>
      <c r="D23" s="7" t="inlineStr">
        <is>
          <t>Actual</t>
        </is>
      </c>
      <c r="E23" s="7" t="inlineStr">
        <is>
          <t>Progress</t>
        </is>
      </c>
      <c r="F23" s="7" t="inlineStr">
        <is>
          <t>Status</t>
        </is>
      </c>
      <c r="G23" s="7" t="inlineStr">
        <is>
          <t>Notes</t>
        </is>
      </c>
    </row>
    <row r="24">
      <c r="A24" s="8" t="inlineStr">
        <is>
          <t>[KR 3.1]  Active leather Decorators (steady state target: 10)</t>
        </is>
      </c>
      <c r="B24" s="61" t="n">
        <v>10</v>
      </c>
      <c r="C24" s="62" t="inlineStr">
        <is>
          <t>Decorators</t>
        </is>
      </c>
      <c r="D24" s="63" t="inlineStr"/>
      <c r="E24" s="64">
        <f>IF(D24="","",IF(B24=0,1,MIN(1,D24/B24)))</f>
        <v/>
      </c>
      <c r="F24" s="65">
        <f>IF(D24="","–",IF(E24&gt;=0.8,"✓ On Track",IF(E24&gt;=0.5,"⚠ At Risk","✗ Off Track")))</f>
        <v/>
      </c>
      <c r="G24" s="10" t="inlineStr">
        <is>
          <t>12m post-launch target</t>
        </is>
      </c>
    </row>
    <row r="25">
      <c r="A25" s="8" t="inlineStr">
        <is>
          <t>[KR 3.2]  Leather SKUs live in catalog (target: 1,500)</t>
        </is>
      </c>
      <c r="B25" s="61" t="n">
        <v>1500</v>
      </c>
      <c r="C25" s="62" t="inlineStr">
        <is>
          <t>SKUs</t>
        </is>
      </c>
      <c r="D25" s="63" t="inlineStr"/>
      <c r="E25" s="64">
        <f>IF(D25="","",IF(B25=0,1,MIN(1,D25/B25)))</f>
        <v/>
      </c>
      <c r="F25" s="65">
        <f>IF(D25="","–",IF(E25&gt;=0.8,"✓ On Track",IF(E25&gt;=0.5,"⚠ At Risk","✗ Off Track")))</f>
        <v/>
      </c>
      <c r="G25" s="10" t="inlineStr">
        <is>
          <t>12m post-launch target</t>
        </is>
      </c>
    </row>
    <row r="26">
      <c r="A26" s="8" t="inlineStr">
        <is>
          <t>[KR 3.3]  Decorator auto-approval rate (target: &gt;70%)</t>
        </is>
      </c>
      <c r="B26" s="61" t="n">
        <v>70</v>
      </c>
      <c r="C26" s="62" t="inlineStr">
        <is>
          <t>% approved</t>
        </is>
      </c>
      <c r="D26" s="63" t="inlineStr"/>
      <c r="E26" s="64">
        <f>IF(D26="","",IF(B26=0,1,MIN(1,D26/B26)))</f>
        <v/>
      </c>
      <c r="F26" s="65">
        <f>IF(D26="","–",IF(E26&gt;=0.8,"✓ On Track",IF(E26&gt;=0.5,"⚠ At Risk","✗ Off Track")))</f>
        <v/>
      </c>
      <c r="G26" s="10" t="inlineStr">
        <is>
          <t>Confidence scoring effectiveness</t>
        </is>
      </c>
    </row>
    <row r="27">
      <c r="A27" s="8" t="inlineStr">
        <is>
          <t>[KR 3.4]  Avg time-to-live for approved SKUs (target: &lt;24h)</t>
        </is>
      </c>
      <c r="B27" s="61" t="n">
        <v>24</v>
      </c>
      <c r="C27" s="62" t="inlineStr">
        <is>
          <t>Hours</t>
        </is>
      </c>
      <c r="D27" s="63" t="inlineStr"/>
      <c r="E27" s="64">
        <f>IF(D27="","",IF(B27=0,1,MAX(0,MIN(1,B27/D27))))</f>
        <v/>
      </c>
      <c r="F27" s="65">
        <f>IF(D27="","–",IF(E27&gt;=0.8,"✓ On Track",IF(E27&gt;=0.5,"⚠ At Risk","✗ Off Track")))</f>
        <v/>
      </c>
      <c r="G27" s="10" t="inlineStr">
        <is>
          <t>Ingestion pipeline speed</t>
        </is>
      </c>
    </row>
    <row r="29" ht="22" customHeight="1">
      <c r="A29" s="70" t="inlineStr">
        <is>
          <t>OBJECTIVE 4:  O4 — Generate Merchant GMV and Satisfaction</t>
        </is>
      </c>
    </row>
    <row r="30" ht="16" customHeight="1">
      <c r="A30" s="71" t="inlineStr">
        <is>
          <t>Prove merchant value and platform margin contribution within the first quarter post-launch.</t>
        </is>
      </c>
    </row>
    <row r="31">
      <c r="A31" s="7" t="inlineStr">
        <is>
          <t>Key Result</t>
        </is>
      </c>
      <c r="B31" s="7" t="inlineStr">
        <is>
          <t>Target</t>
        </is>
      </c>
      <c r="C31" s="7" t="inlineStr">
        <is>
          <t>Unit</t>
        </is>
      </c>
      <c r="D31" s="7" t="inlineStr">
        <is>
          <t>Actual</t>
        </is>
      </c>
      <c r="E31" s="7" t="inlineStr">
        <is>
          <t>Progress</t>
        </is>
      </c>
      <c r="F31" s="7" t="inlineStr">
        <is>
          <t>Status</t>
        </is>
      </c>
      <c r="G31" s="7" t="inlineStr">
        <is>
          <t>Notes</t>
        </is>
      </c>
    </row>
    <row r="32">
      <c r="A32" s="8" t="inlineStr">
        <is>
          <t>[KR 4.1]  Monthly platform margin from leather category (target: $375K)</t>
        </is>
      </c>
      <c r="B32" s="9" t="n">
        <v>375000</v>
      </c>
      <c r="C32" s="62" t="inlineStr">
        <is>
          <t>$</t>
        </is>
      </c>
      <c r="D32" s="63" t="inlineStr"/>
      <c r="E32" s="64">
        <f>IF(D32="","",IF(B32=0,1,MIN(1,D32/B32)))</f>
        <v/>
      </c>
      <c r="F32" s="65">
        <f>IF(D32="","–",IF(E32&gt;=0.8,"✓ On Track",IF(E32&gt;=0.5,"⚠ At Risk","✗ Off Track")))</f>
        <v/>
      </c>
      <c r="G32" s="10" t="inlineStr">
        <is>
          <t>Base case revenue model</t>
        </is>
      </c>
    </row>
    <row r="33">
      <c r="A33" s="8" t="inlineStr">
        <is>
          <t>[KR 4.2]  Merchant NPS — leather category (target: &gt;7)</t>
        </is>
      </c>
      <c r="B33" s="61" t="n">
        <v>7</v>
      </c>
      <c r="C33" s="62" t="inlineStr">
        <is>
          <t>NPS</t>
        </is>
      </c>
      <c r="D33" s="63" t="inlineStr"/>
      <c r="E33" s="64">
        <f>IF(D33="","",IF(B33=0,1,MIN(1,D33/B33)))</f>
        <v/>
      </c>
      <c r="F33" s="65">
        <f>IF(D33="","–",IF(E33&gt;=0.8,"✓ On Track",IF(E33&gt;=0.5,"⚠ At Risk","✗ Off Track")))</f>
        <v/>
      </c>
      <c r="G33" s="10" t="inlineStr">
        <is>
          <t>Post-launch survey at 90 days</t>
        </is>
      </c>
    </row>
    <row r="34">
      <c r="A34" s="8" t="inlineStr">
        <is>
          <t>[KR 4.3]  Active merchants listing leather products (target: 50+)</t>
        </is>
      </c>
      <c r="B34" s="61" t="n">
        <v>50</v>
      </c>
      <c r="C34" s="62" t="inlineStr">
        <is>
          <t>Merchants</t>
        </is>
      </c>
      <c r="D34" s="63" t="inlineStr"/>
      <c r="E34" s="64">
        <f>IF(D34="","",IF(B34=0,1,MIN(1,D34/B34)))</f>
        <v/>
      </c>
      <c r="F34" s="65">
        <f>IF(D34="","–",IF(E34&gt;=0.8,"✓ On Track",IF(E34&gt;=0.5,"⚠ At Risk","✗ Off Track")))</f>
        <v/>
      </c>
      <c r="G34" s="10" t="inlineStr">
        <is>
          <t>Merchant adoption signal</t>
        </is>
      </c>
    </row>
    <row r="35">
      <c r="A35" s="8" t="inlineStr">
        <is>
          <t>[KR 4.4]  AOV leather vs apparel (target: ≥1.5×)</t>
        </is>
      </c>
      <c r="B35" s="72" t="n">
        <v>1.5</v>
      </c>
      <c r="C35" s="62" t="inlineStr">
        <is>
          <t>Ratio</t>
        </is>
      </c>
      <c r="D35" s="63" t="inlineStr"/>
      <c r="E35" s="64">
        <f>IF(D35="","",IF(B35=0,1,MIN(1,D35/B35)))</f>
        <v/>
      </c>
      <c r="F35" s="65">
        <f>IF(D35="","–",IF(E35&gt;=0.8,"✓ On Track",IF(E35&gt;=0.5,"⚠ At Risk","✗ Off Track")))</f>
        <v/>
      </c>
      <c r="G35" s="10" t="inlineStr">
        <is>
          <t>Revenue quality vs baseline</t>
        </is>
      </c>
    </row>
    <row r="37" ht="22" customHeight="1">
      <c r="A37" s="59" t="inlineStr">
        <is>
          <t>OBJECTIVE 5:  O5 — Compliance &amp; Quality</t>
        </is>
      </c>
    </row>
    <row r="38" ht="16" customHeight="1">
      <c r="A38" s="73" t="inlineStr">
        <is>
          <t>Ensure FTC, Prop 65, and ECO certification compliance from day one.</t>
        </is>
      </c>
    </row>
    <row r="39">
      <c r="A39" s="7" t="inlineStr">
        <is>
          <t>Key Result</t>
        </is>
      </c>
      <c r="B39" s="7" t="inlineStr">
        <is>
          <t>Target</t>
        </is>
      </c>
      <c r="C39" s="7" t="inlineStr">
        <is>
          <t>Unit</t>
        </is>
      </c>
      <c r="D39" s="7" t="inlineStr">
        <is>
          <t>Actual</t>
        </is>
      </c>
      <c r="E39" s="7" t="inlineStr">
        <is>
          <t>Progress</t>
        </is>
      </c>
      <c r="F39" s="7" t="inlineStr">
        <is>
          <t>Status</t>
        </is>
      </c>
      <c r="G39" s="7" t="inlineStr">
        <is>
          <t>Notes</t>
        </is>
      </c>
    </row>
    <row r="40">
      <c r="A40" s="8" t="inlineStr">
        <is>
          <t>[KR 5.1]  MAT-001 violations on live SKUs (target: 0 — FTC compliance)</t>
        </is>
      </c>
      <c r="B40" s="61" t="n">
        <v>0</v>
      </c>
      <c r="C40" s="62" t="inlineStr">
        <is>
          <t>Violations</t>
        </is>
      </c>
      <c r="D40" s="63" t="inlineStr"/>
      <c r="E40" s="64">
        <f>IF(D40="","",IF(B40=0,1,MIN(1,D40/B40)))</f>
        <v/>
      </c>
      <c r="F40" s="65">
        <f>IF(D40="","–",IF(E40&gt;=0.8,"✓ On Track",IF(E40&gt;=0.5,"⚠ At Risk","✗ Off Track")))</f>
        <v/>
      </c>
      <c r="G40" s="10" t="inlineStr">
        <is>
          <t>Zero tolerance — legal requirement</t>
        </is>
      </c>
    </row>
    <row r="41">
      <c r="A41" s="8" t="inlineStr">
        <is>
          <t>[KR 5.2]  Prop 65 compliant SKUs for USA channels (target: 100%)</t>
        </is>
      </c>
      <c r="B41" s="61" t="n">
        <v>100</v>
      </c>
      <c r="C41" s="62" t="inlineStr">
        <is>
          <t>% compliant</t>
        </is>
      </c>
      <c r="D41" s="63" t="inlineStr"/>
      <c r="E41" s="64">
        <f>IF(D41="","",IF(B41=0,1,MIN(1,D41/B41)))</f>
        <v/>
      </c>
      <c r="F41" s="65">
        <f>IF(D41="","–",IF(E41&gt;=0.8,"✓ On Track",IF(E41&gt;=0.5,"⚠ At Risk","✗ Off Track")))</f>
        <v/>
      </c>
      <c r="G41" s="10" t="inlineStr">
        <is>
          <t>California legal requirement</t>
        </is>
      </c>
    </row>
    <row r="42">
      <c r="A42" s="8" t="inlineStr">
        <is>
          <t>[KR 5.3]  Expired ECO certs causing live SKU unpublish (target: 0)</t>
        </is>
      </c>
      <c r="B42" s="61" t="n">
        <v>0</v>
      </c>
      <c r="C42" s="62" t="inlineStr">
        <is>
          <t>Incidents</t>
        </is>
      </c>
      <c r="D42" s="63" t="inlineStr"/>
      <c r="E42" s="64">
        <f>IF(D42="","",IF(B42=0,1,MIN(1,D42/B42)))</f>
        <v/>
      </c>
      <c r="F42" s="65">
        <f>IF(D42="","–",IF(E42&gt;=0.8,"✓ On Track",IF(E42&gt;=0.5,"⚠ At Risk","✗ Off Track")))</f>
        <v/>
      </c>
      <c r="G42" s="10" t="inlineStr">
        <is>
          <t>Cert expiry monitoring effectiveness</t>
        </is>
      </c>
    </row>
    <row r="43">
      <c r="A43" s="8" t="inlineStr">
        <is>
          <t>[KR 5.4]  Ops HITL review SLA &lt;4h met (% SKUs reviewed within SLA)</t>
        </is>
      </c>
      <c r="B43" s="61" t="n">
        <v>90</v>
      </c>
      <c r="C43" s="62" t="inlineStr">
        <is>
          <t>% on SLA</t>
        </is>
      </c>
      <c r="D43" s="63" t="inlineStr"/>
      <c r="E43" s="64">
        <f>IF(D43="","",IF(B43=0,1,MIN(1,D43/B43)))</f>
        <v/>
      </c>
      <c r="F43" s="65">
        <f>IF(D43="","–",IF(E43&gt;=0.8,"✓ On Track",IF(E43&gt;=0.5,"⚠ At Risk","✗ Off Track")))</f>
        <v/>
      </c>
      <c r="G43" s="10" t="inlineStr">
        <is>
          <t>Queue management at launch scale</t>
        </is>
      </c>
    </row>
    <row r="45" ht="22" customHeight="1">
      <c r="A45" s="54" t="inlineStr">
        <is>
          <t>OKR SUMMARY DASHBOARD</t>
        </is>
      </c>
    </row>
    <row r="46">
      <c r="A46" s="7" t="inlineStr">
        <is>
          <t>Objective</t>
        </is>
      </c>
      <c r="B46" s="7" t="inlineStr">
        <is>
          <t>Key Results</t>
        </is>
      </c>
      <c r="C46" s="7" t="inlineStr">
        <is>
          <t>Entered</t>
        </is>
      </c>
      <c r="D46" s="7" t="inlineStr">
        <is>
          <t>Avg Progress</t>
        </is>
      </c>
      <c r="E46" s="7" t="inlineStr">
        <is>
          <t>Status</t>
        </is>
      </c>
      <c r="F46" s="48" t="n"/>
      <c r="G46" s="13" t="n"/>
    </row>
    <row r="47">
      <c r="A47" s="18" t="inlineStr">
        <is>
          <t>O1 — Validate Market Demand</t>
        </is>
      </c>
      <c r="B47" s="62" t="n">
        <v>4</v>
      </c>
      <c r="C47" s="74" t="inlineStr">
        <is>
          <t>—</t>
        </is>
      </c>
      <c r="D47" s="64" t="inlineStr">
        <is>
          <t>—</t>
        </is>
      </c>
      <c r="E47" s="10" t="inlineStr">
        <is>
          <t>Enter actuals above to see status</t>
        </is>
      </c>
    </row>
    <row r="48">
      <c r="A48" s="18" t="inlineStr">
        <is>
          <t>O2 — Launch Lean MVP On Time</t>
        </is>
      </c>
      <c r="B48" s="62" t="n">
        <v>4</v>
      </c>
      <c r="C48" s="74" t="inlineStr">
        <is>
          <t>—</t>
        </is>
      </c>
      <c r="D48" s="64" t="inlineStr">
        <is>
          <t>—</t>
        </is>
      </c>
      <c r="E48" s="10" t="inlineStr">
        <is>
          <t>Enter actuals above to see status</t>
        </is>
      </c>
    </row>
    <row r="49">
      <c r="A49" s="18" t="inlineStr">
        <is>
          <t>O3 — Achieve Catalog Scale</t>
        </is>
      </c>
      <c r="B49" s="62" t="n">
        <v>4</v>
      </c>
      <c r="C49" s="74" t="inlineStr">
        <is>
          <t>—</t>
        </is>
      </c>
      <c r="D49" s="64" t="inlineStr">
        <is>
          <t>—</t>
        </is>
      </c>
      <c r="E49" s="10" t="inlineStr">
        <is>
          <t>Enter actuals above to see status</t>
        </is>
      </c>
    </row>
    <row r="50">
      <c r="A50" s="18" t="inlineStr">
        <is>
          <t>O4 — Generate Merchant GMV</t>
        </is>
      </c>
      <c r="B50" s="62" t="n">
        <v>4</v>
      </c>
      <c r="C50" s="74" t="inlineStr">
        <is>
          <t>—</t>
        </is>
      </c>
      <c r="D50" s="64" t="inlineStr">
        <is>
          <t>—</t>
        </is>
      </c>
      <c r="E50" s="10" t="inlineStr">
        <is>
          <t>Enter actuals above to see status</t>
        </is>
      </c>
    </row>
    <row r="51">
      <c r="A51" s="18" t="inlineStr">
        <is>
          <t>O5 — Compliance &amp; Quality</t>
        </is>
      </c>
      <c r="B51" s="62" t="n">
        <v>4</v>
      </c>
      <c r="C51" s="74" t="inlineStr">
        <is>
          <t>—</t>
        </is>
      </c>
      <c r="D51" s="64" t="inlineStr">
        <is>
          <t>—</t>
        </is>
      </c>
      <c r="E51" s="10" t="inlineStr">
        <is>
          <t>Enter actuals above to see status</t>
        </is>
      </c>
    </row>
  </sheetData>
  <mergeCells count="20">
    <mergeCell ref="A14:G14"/>
    <mergeCell ref="A22:G22"/>
    <mergeCell ref="A38:G38"/>
    <mergeCell ref="A29:G29"/>
    <mergeCell ref="A13:G13"/>
    <mergeCell ref="E46:G46"/>
    <mergeCell ref="E49:G49"/>
    <mergeCell ref="A30:G30"/>
    <mergeCell ref="A45:G45"/>
    <mergeCell ref="A1:G1"/>
    <mergeCell ref="A6:G6"/>
    <mergeCell ref="E47:G47"/>
    <mergeCell ref="E50:G50"/>
    <mergeCell ref="A37:G37"/>
    <mergeCell ref="A3:G3"/>
    <mergeCell ref="A21:G21"/>
    <mergeCell ref="E48:G48"/>
    <mergeCell ref="A2:G2"/>
    <mergeCell ref="E51:G5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2026-08-16T17:50:40Z</dcterms:created>
  <dcterms:modified xmlns:dcterms="http://purl.org/dc/terms/" xmlns:xsi="http://www.w3.org/2001/XMLSchema-instance" xsi:type="dcterms:W3CDTF">2026-08-16T17:50:40Z</dcterms:modified>
</cp:coreProperties>
</file>