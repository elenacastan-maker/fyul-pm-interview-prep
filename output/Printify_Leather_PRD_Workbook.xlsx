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worksheets/sheet6.xml" ContentType="application/vnd.openxmlformats-officedocument.spreadsheetml.worksheet+xml"/>
  <Override PartName="/xl/drawings/drawing5.xml" ContentType="application/vnd.openxmlformats-officedocument.drawing+xml"/>
  <Override PartName="/xl/worksheets/sheet7.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rket Sizing (TAM·SAM·SOM)" sheetId="1" state="visible" r:id="rId1"/>
    <sheet xmlns:r="http://schemas.openxmlformats.org/officeDocument/2006/relationships" name="OKRs &amp; KPIs" sheetId="2" state="visible" r:id="rId2"/>
    <sheet xmlns:r="http://schemas.openxmlformats.org/officeDocument/2006/relationships" name="Proxy Data &amp; Metrics" sheetId="3" state="visible" r:id="rId3"/>
    <sheet xmlns:r="http://schemas.openxmlformats.org/officeDocument/2006/relationships" name="Business Case" sheetId="4" state="visible" r:id="rId4"/>
    <sheet xmlns:r="http://schemas.openxmlformats.org/officeDocument/2006/relationships" name="Competitor Benchmark" sheetId="5" state="visible" r:id="rId5"/>
    <sheet xmlns:r="http://schemas.openxmlformats.org/officeDocument/2006/relationships" name="Roadmap" sheetId="6" state="visible" r:id="rId6"/>
    <sheet xmlns:r="http://schemas.openxmlformats.org/officeDocument/2006/relationships" name="Implementation Map" sheetId="7" state="visible" r:id="rId7"/>
  </sheets>
  <definedNames/>
  <calcPr calcId="124519" fullCalcOnLoad="1"/>
</workbook>
</file>

<file path=xl/styles.xml><?xml version="1.0" encoding="utf-8"?>
<styleSheet xmlns="http://schemas.openxmlformats.org/spreadsheetml/2006/main">
  <numFmts count="2">
    <numFmt numFmtId="164" formatCode="&quot;$&quot;#,##0"/>
    <numFmt numFmtId="165" formatCode="&quot;$&quot;#,##0&quot;K&quot;"/>
  </numFmts>
  <fonts count="20">
    <font>
      <name val="Calibri"/>
      <family val="2"/>
      <color theme="1"/>
      <sz val="11"/>
      <scheme val="minor"/>
    </font>
    <font>
      <name val="Calibri"/>
      <b val="1"/>
      <color rgb="001A1A1A"/>
      <sz val="14"/>
    </font>
    <font>
      <name val="Calibri"/>
      <i val="1"/>
      <color rgb="00666666"/>
      <sz val="9"/>
    </font>
    <font>
      <name val="Calibri"/>
      <b val="1"/>
      <color rgb="00FFFFFF"/>
      <sz val="10"/>
    </font>
    <font>
      <name val="Calibri"/>
      <b val="1"/>
      <color rgb="00FFFFFF"/>
      <sz val="9"/>
    </font>
    <font>
      <name val="Calibri"/>
      <b val="1"/>
      <color rgb="001A1A1A"/>
      <sz val="9"/>
    </font>
    <font>
      <name val="Calibri"/>
      <color rgb="001A1A1A"/>
      <sz val="9"/>
    </font>
    <font>
      <name val="Calibri"/>
      <color rgb="00666666"/>
      <sz val="9"/>
    </font>
    <font>
      <name val="Calibri"/>
      <b val="1"/>
      <color rgb="001D6B0F"/>
      <sz val="9"/>
    </font>
    <font>
      <name val="Calibri"/>
      <b val="1"/>
      <color rgb="00666666"/>
      <sz val="9"/>
    </font>
    <font>
      <name val="Calibri"/>
      <color rgb="001D6B0F"/>
      <sz val="9"/>
    </font>
    <font>
      <name val="Calibri"/>
      <i val="1"/>
      <color rgb="00666666"/>
      <sz val="8"/>
    </font>
    <font>
      <name val="Calibri"/>
      <b val="1"/>
      <color rgb="002B5A18"/>
      <sz val="9"/>
    </font>
    <font>
      <name val="Calibri"/>
      <i val="1"/>
      <color rgb="00B45309"/>
      <sz val="9"/>
    </font>
    <font>
      <name val="Calibri"/>
      <color rgb="00B45309"/>
      <sz val="9"/>
    </font>
    <font>
      <name val="Calibri"/>
      <color rgb="002B5A18"/>
      <sz val="9"/>
      <u val="single"/>
    </font>
    <font>
      <name val="Calibri"/>
      <i val="1"/>
      <color rgb="002B5A18"/>
      <sz val="10"/>
    </font>
    <font>
      <name val="Calibri"/>
      <b val="1"/>
      <color rgb="00B45309"/>
      <sz val="9"/>
    </font>
    <font>
      <name val="Calibri"/>
      <b val="1"/>
      <color rgb="00FFFFFF"/>
      <sz val="7"/>
    </font>
    <font>
      <name val="Calibri"/>
      <b val="1"/>
      <i val="1"/>
      <color rgb="00666666"/>
      <sz val="9"/>
    </font>
  </fonts>
  <fills count="15">
    <fill>
      <patternFill/>
    </fill>
    <fill>
      <patternFill patternType="gray125"/>
    </fill>
    <fill>
      <patternFill patternType="solid">
        <fgColor rgb="003D6B28"/>
      </patternFill>
    </fill>
    <fill>
      <patternFill patternType="solid">
        <fgColor rgb="002B5A18"/>
      </patternFill>
    </fill>
    <fill>
      <patternFill patternType="solid">
        <fgColor rgb="00F4F4F4"/>
      </patternFill>
    </fill>
    <fill>
      <patternFill patternType="solid">
        <fgColor rgb="00E4FCC0"/>
      </patternFill>
    </fill>
    <fill>
      <patternFill patternType="solid">
        <fgColor rgb="00FFFFFF"/>
      </patternFill>
    </fill>
    <fill>
      <patternFill patternType="solid">
        <fgColor rgb="00F8FAF6"/>
      </patternFill>
    </fill>
    <fill>
      <patternFill patternType="solid">
        <fgColor rgb="00F0F7EC"/>
      </patternFill>
    </fill>
    <fill>
      <patternFill patternType="solid">
        <fgColor rgb="00FEF3C7"/>
      </patternFill>
    </fill>
    <fill>
      <patternFill patternType="solid">
        <fgColor rgb="00AAAAAA"/>
      </patternFill>
    </fill>
    <fill>
      <patternFill patternType="solid">
        <fgColor rgb="009A6B1A"/>
      </patternFill>
    </fill>
    <fill>
      <patternFill patternType="solid">
        <fgColor rgb="002C5280"/>
      </patternFill>
    </fill>
    <fill>
      <patternFill patternType="solid">
        <fgColor rgb="00B45309"/>
      </patternFill>
    </fill>
    <fill>
      <patternFill patternType="solid">
        <fgColor rgb="001D6B0F"/>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top style="thin">
        <color rgb="00CCCCCC"/>
      </top>
      <bottom style="thin">
        <color rgb="00CCCCCC"/>
      </bottom>
      <diagonal/>
    </border>
    <border>
      <left/>
      <right style="thin">
        <color rgb="00CCCCCC"/>
      </right>
      <top style="thin">
        <color rgb="00CCCCCC"/>
      </top>
      <bottom style="thin">
        <color rgb="00CCCCCC"/>
      </bottom>
      <diagonal/>
    </border>
  </borders>
  <cellStyleXfs count="1">
    <xf numFmtId="0" fontId="0" fillId="0" borderId="0"/>
  </cellStyleXfs>
  <cellXfs count="112">
    <xf numFmtId="0" fontId="0" fillId="0" borderId="0" pivotButton="0" quotePrefix="0" xfId="0"/>
    <xf numFmtId="0" fontId="1" fillId="0" borderId="0" applyAlignment="1" pivotButton="0" quotePrefix="0" xfId="0">
      <alignment vertical="center"/>
    </xf>
    <xf numFmtId="0" fontId="2" fillId="0" borderId="0" applyAlignment="1" pivotButton="0" quotePrefix="0" xfId="0">
      <alignment vertical="center"/>
    </xf>
    <xf numFmtId="0" fontId="3" fillId="2" borderId="0" applyAlignment="1" pivotButton="0" quotePrefix="0" xfId="0">
      <alignment horizontal="left" vertical="center" indent="1"/>
    </xf>
    <xf numFmtId="0" fontId="4" fillId="3" borderId="1" applyAlignment="1" pivotButton="0" quotePrefix="0" xfId="0">
      <alignment horizontal="center" vertical="center" wrapText="1"/>
    </xf>
    <xf numFmtId="0" fontId="5" fillId="3" borderId="1" applyAlignment="1" pivotButton="0" quotePrefix="0" xfId="0">
      <alignment horizontal="left" vertical="center" wrapText="1"/>
    </xf>
    <xf numFmtId="0" fontId="6" fillId="3" borderId="1" applyAlignment="1" pivotButton="0" quotePrefix="0" xfId="0">
      <alignment horizontal="left" vertical="center" wrapText="1"/>
    </xf>
    <xf numFmtId="0" fontId="7" fillId="3" borderId="1" applyAlignment="1" pivotButton="0" quotePrefix="0" xfId="0">
      <alignment horizontal="center" vertical="center" wrapText="1"/>
    </xf>
    <xf numFmtId="0" fontId="7" fillId="3" borderId="1" applyAlignment="1" pivotButton="0" quotePrefix="0" xfId="0">
      <alignment horizontal="left" vertical="center" wrapText="1"/>
    </xf>
    <xf numFmtId="0" fontId="5" fillId="4" borderId="1" applyAlignment="1" pivotButton="0" quotePrefix="0" xfId="0">
      <alignment horizontal="left" vertical="center" wrapText="1"/>
    </xf>
    <xf numFmtId="0" fontId="6" fillId="4" borderId="1" applyAlignment="1" pivotButton="0" quotePrefix="0" xfId="0">
      <alignment horizontal="left" vertical="center" wrapText="1"/>
    </xf>
    <xf numFmtId="0" fontId="7" fillId="4" borderId="1" applyAlignment="1" pivotButton="0" quotePrefix="0" xfId="0">
      <alignment horizontal="center" vertical="center" wrapText="1"/>
    </xf>
    <xf numFmtId="0" fontId="7" fillId="4" borderId="1" applyAlignment="1" pivotButton="0" quotePrefix="0" xfId="0">
      <alignment horizontal="left" vertical="center" wrapText="1"/>
    </xf>
    <xf numFmtId="0" fontId="8" fillId="5" borderId="1" applyAlignment="1" pivotButton="0" quotePrefix="0" xfId="0">
      <alignment horizontal="left" vertical="center" wrapText="1"/>
    </xf>
    <xf numFmtId="0" fontId="6" fillId="5" borderId="1" applyAlignment="1" pivotButton="0" quotePrefix="0" xfId="0">
      <alignment horizontal="left" vertical="center" wrapText="1"/>
    </xf>
    <xf numFmtId="0" fontId="8" fillId="5" borderId="1" applyAlignment="1" pivotButton="0" quotePrefix="0" xfId="0">
      <alignment horizontal="center" vertical="center" wrapText="1"/>
    </xf>
    <xf numFmtId="0" fontId="7" fillId="5" borderId="1" applyAlignment="1" pivotButton="0" quotePrefix="0" xfId="0">
      <alignment horizontal="left" vertical="center" wrapText="1"/>
    </xf>
    <xf numFmtId="0" fontId="9" fillId="6" borderId="1" applyAlignment="1" pivotButton="0" quotePrefix="0" xfId="0">
      <alignment horizontal="left" vertical="center" wrapText="1"/>
    </xf>
    <xf numFmtId="0" fontId="6" fillId="6" borderId="1" applyAlignment="1" pivotButton="0" quotePrefix="0" xfId="0">
      <alignment horizontal="left" vertical="center" wrapText="1"/>
    </xf>
    <xf numFmtId="0" fontId="8" fillId="6" borderId="1" applyAlignment="1" pivotButton="0" quotePrefix="0" xfId="0">
      <alignment horizontal="center" vertical="center" wrapText="1"/>
    </xf>
    <xf numFmtId="0" fontId="7" fillId="6" borderId="1" applyAlignment="1" pivotButton="0" quotePrefix="0" xfId="0">
      <alignment horizontal="left" vertical="center" wrapText="1"/>
    </xf>
    <xf numFmtId="0" fontId="10" fillId="6" borderId="1" applyAlignment="1" pivotButton="0" quotePrefix="0" xfId="0">
      <alignment horizontal="center" vertical="center" wrapText="1"/>
    </xf>
    <xf numFmtId="0" fontId="9" fillId="4" borderId="1" applyAlignment="1" pivotButton="0" quotePrefix="0" xfId="0">
      <alignment horizontal="left" vertical="center" wrapText="1"/>
    </xf>
    <xf numFmtId="0" fontId="8" fillId="4" borderId="1" applyAlignment="1" pivotButton="0" quotePrefix="0" xfId="0">
      <alignment horizontal="center" vertical="center" wrapText="1"/>
    </xf>
    <xf numFmtId="0" fontId="5" fillId="3" borderId="1" applyAlignment="1" pivotButton="0" quotePrefix="0" xfId="0">
      <alignment horizontal="center" vertical="center" wrapText="1"/>
    </xf>
    <xf numFmtId="0" fontId="5" fillId="3" borderId="1" applyAlignment="1" pivotButton="0" quotePrefix="0" xfId="0">
      <alignment horizontal="right" vertical="center" wrapText="1"/>
    </xf>
    <xf numFmtId="0" fontId="5" fillId="4" borderId="1" applyAlignment="1" pivotButton="0" quotePrefix="0" xfId="0">
      <alignment horizontal="center" vertical="center" wrapText="1"/>
    </xf>
    <xf numFmtId="0" fontId="5" fillId="4" borderId="1" applyAlignment="1" pivotButton="0" quotePrefix="0" xfId="0">
      <alignment horizontal="right" vertical="center" wrapText="1"/>
    </xf>
    <xf numFmtId="0" fontId="8" fillId="5" borderId="1" applyAlignment="1" pivotButton="0" quotePrefix="0" xfId="0">
      <alignment horizontal="right" vertical="center" wrapText="1"/>
    </xf>
    <xf numFmtId="0" fontId="7" fillId="5" borderId="1" applyAlignment="1" pivotButton="0" quotePrefix="0" xfId="0">
      <alignment horizontal="center" vertical="center" wrapText="1"/>
    </xf>
    <xf numFmtId="0" fontId="8" fillId="6" borderId="1" applyAlignment="1" pivotButton="0" quotePrefix="0" xfId="0">
      <alignment horizontal="right" vertical="center" wrapText="1"/>
    </xf>
    <xf numFmtId="0" fontId="7" fillId="6" borderId="1" applyAlignment="1" pivotButton="0" quotePrefix="0" xfId="0">
      <alignment horizontal="center" vertical="center" wrapText="1"/>
    </xf>
    <xf numFmtId="0" fontId="8" fillId="4" borderId="1" applyAlignment="1" pivotButton="0" quotePrefix="0" xfId="0">
      <alignment horizontal="right" vertical="center" wrapText="1"/>
    </xf>
    <xf numFmtId="0" fontId="5" fillId="6" borderId="1" applyAlignment="1" pivotButton="0" quotePrefix="0" xfId="0">
      <alignment horizontal="left" vertical="center" wrapText="1"/>
    </xf>
    <xf numFmtId="0" fontId="11" fillId="0" borderId="0" applyAlignment="1" pivotButton="0" quotePrefix="0" xfId="0">
      <alignment vertical="center" wrapText="1"/>
    </xf>
    <xf numFmtId="0" fontId="6" fillId="7" borderId="1" applyAlignment="1" pivotButton="0" quotePrefix="0" xfId="0">
      <alignment vertical="center" wrapText="1"/>
    </xf>
    <xf numFmtId="0" fontId="0" fillId="0" borderId="4" pivotButton="0" quotePrefix="0" xfId="0"/>
    <xf numFmtId="0" fontId="0" fillId="0" borderId="5" pivotButton="0" quotePrefix="0" xfId="0"/>
    <xf numFmtId="0" fontId="12" fillId="8" borderId="1" applyAlignment="1" pivotButton="0" quotePrefix="0" xfId="0">
      <alignment horizontal="left" vertical="center" wrapText="1"/>
    </xf>
    <xf numFmtId="0" fontId="5" fillId="8" borderId="1" applyAlignment="1" pivotButton="0" quotePrefix="0" xfId="0">
      <alignment horizontal="center" vertical="center" wrapText="1"/>
    </xf>
    <xf numFmtId="0" fontId="6" fillId="8" borderId="1" applyAlignment="1" pivotButton="0" quotePrefix="0" xfId="0">
      <alignment horizontal="left" vertical="center" wrapText="1"/>
    </xf>
    <xf numFmtId="0" fontId="13" fillId="8" borderId="1" applyAlignment="1" pivotButton="0" quotePrefix="0" xfId="0">
      <alignment horizontal="left" vertical="center" wrapText="1"/>
    </xf>
    <xf numFmtId="0" fontId="2" fillId="8" borderId="1" applyAlignment="1" pivotButton="0" quotePrefix="0" xfId="0">
      <alignment horizontal="left" vertical="center" wrapText="1"/>
    </xf>
    <xf numFmtId="0" fontId="7" fillId="8" borderId="1" applyAlignment="1" pivotButton="0" quotePrefix="0" xfId="0">
      <alignment horizontal="center" vertical="center" wrapText="1"/>
    </xf>
    <xf numFmtId="0" fontId="12" fillId="6" borderId="1" applyAlignment="1" pivotButton="0" quotePrefix="0" xfId="0">
      <alignment horizontal="left" vertical="center" wrapText="1"/>
    </xf>
    <xf numFmtId="0" fontId="5" fillId="6" borderId="1" applyAlignment="1" pivotButton="0" quotePrefix="0" xfId="0">
      <alignment horizontal="center" vertical="center" wrapText="1"/>
    </xf>
    <xf numFmtId="0" fontId="13" fillId="6" borderId="1" applyAlignment="1" pivotButton="0" quotePrefix="0" xfId="0">
      <alignment horizontal="left" vertical="center" wrapText="1"/>
    </xf>
    <xf numFmtId="0" fontId="2" fillId="6" borderId="1" applyAlignment="1" pivotButton="0" quotePrefix="0" xfId="0">
      <alignment horizontal="left" vertical="center" wrapText="1"/>
    </xf>
    <xf numFmtId="0" fontId="13" fillId="4" borderId="1" applyAlignment="1" pivotButton="0" quotePrefix="0" xfId="0">
      <alignment horizontal="left" vertical="center" wrapText="1"/>
    </xf>
    <xf numFmtId="0" fontId="10" fillId="4" borderId="1" applyAlignment="1" pivotButton="0" quotePrefix="0" xfId="0">
      <alignment horizontal="center" vertical="center" wrapText="1"/>
    </xf>
    <xf numFmtId="0" fontId="14" fillId="9" borderId="1" applyAlignment="1" pivotButton="0" quotePrefix="0" xfId="0">
      <alignment horizontal="left" vertical="center" wrapText="1"/>
    </xf>
    <xf numFmtId="0" fontId="2" fillId="4" borderId="1" applyAlignment="1" pivotButton="0" quotePrefix="0" xfId="0">
      <alignment horizontal="left" vertical="center" wrapText="1"/>
    </xf>
    <xf numFmtId="0" fontId="14" fillId="6" borderId="1" applyAlignment="1" pivotButton="0" quotePrefix="0" xfId="0">
      <alignment horizontal="left" vertical="center" wrapText="1"/>
    </xf>
    <xf numFmtId="0" fontId="10" fillId="4" borderId="1" applyAlignment="1" pivotButton="0" quotePrefix="0" xfId="0">
      <alignment horizontal="left" vertical="center" wrapText="1"/>
    </xf>
    <xf numFmtId="0" fontId="14" fillId="4" borderId="1" applyAlignment="1" pivotButton="0" quotePrefix="0" xfId="0">
      <alignment horizontal="left" vertical="center" wrapText="1"/>
    </xf>
    <xf numFmtId="0" fontId="10" fillId="6" borderId="1" applyAlignment="1" pivotButton="0" quotePrefix="0" xfId="0">
      <alignment horizontal="left" vertical="center" wrapText="1"/>
    </xf>
    <xf numFmtId="0" fontId="5" fillId="9" borderId="1" applyAlignment="1" pivotButton="0" quotePrefix="0" xfId="0">
      <alignment horizontal="left" vertical="center" wrapText="1"/>
    </xf>
    <xf numFmtId="0" fontId="6" fillId="9" borderId="1" applyAlignment="1" pivotButton="0" quotePrefix="0" xfId="0">
      <alignment horizontal="left" vertical="center" wrapText="1"/>
    </xf>
    <xf numFmtId="0" fontId="10" fillId="9" borderId="1" applyAlignment="1" pivotButton="0" quotePrefix="0" xfId="0">
      <alignment horizontal="left" vertical="center" wrapText="1"/>
    </xf>
    <xf numFmtId="0" fontId="15" fillId="4" borderId="1" applyAlignment="1" pivotButton="0" quotePrefix="0" xfId="0">
      <alignment horizontal="left" vertical="center" wrapText="1"/>
    </xf>
    <xf numFmtId="0" fontId="15" fillId="6" borderId="1" applyAlignment="1" pivotButton="0" quotePrefix="0" xfId="0">
      <alignment horizontal="left" vertical="center" wrapText="1"/>
    </xf>
    <xf numFmtId="0" fontId="2" fillId="4" borderId="1" applyAlignment="1" pivotButton="0" quotePrefix="0" xfId="0">
      <alignment vertical="center" wrapText="1"/>
    </xf>
    <xf numFmtId="0" fontId="5" fillId="6" borderId="1" applyAlignment="1" pivotButton="0" quotePrefix="0" xfId="0">
      <alignment horizontal="right" vertical="center" wrapText="1"/>
    </xf>
    <xf numFmtId="0" fontId="2" fillId="6" borderId="1" applyAlignment="1" pivotButton="0" quotePrefix="0" xfId="0">
      <alignment vertical="center" wrapText="1"/>
    </xf>
    <xf numFmtId="0" fontId="16" fillId="8" borderId="1" applyAlignment="1" pivotButton="0" quotePrefix="0" xfId="0">
      <alignment vertical="center" wrapText="1"/>
    </xf>
    <xf numFmtId="0" fontId="8" fillId="6" borderId="1" applyAlignment="1" pivotButton="0" quotePrefix="0" xfId="0">
      <alignment horizontal="left" vertical="center" wrapText="1"/>
    </xf>
    <xf numFmtId="0" fontId="8" fillId="4" borderId="1" applyAlignment="1" pivotButton="0" quotePrefix="0" xfId="0">
      <alignment horizontal="left" vertical="center" wrapText="1"/>
    </xf>
    <xf numFmtId="0" fontId="5" fillId="8" borderId="1" applyAlignment="1" pivotButton="0" quotePrefix="0" xfId="0">
      <alignment horizontal="left" vertical="center" wrapText="1"/>
    </xf>
    <xf numFmtId="0" fontId="7" fillId="8" borderId="1" applyAlignment="1" pivotButton="0" quotePrefix="0" xfId="0">
      <alignment horizontal="left" vertical="center" wrapText="1"/>
    </xf>
    <xf numFmtId="0" fontId="6" fillId="7" borderId="1" applyAlignment="1" pivotButton="0" quotePrefix="0" xfId="0">
      <alignment vertical="top" wrapText="1"/>
    </xf>
    <xf numFmtId="0" fontId="17" fillId="9" borderId="1" applyAlignment="1" pivotButton="0" quotePrefix="0" xfId="0">
      <alignment horizontal="left" vertical="center" wrapText="1"/>
    </xf>
    <xf numFmtId="0" fontId="14" fillId="9" borderId="1" applyAlignment="1" pivotButton="0" quotePrefix="0" xfId="0">
      <alignment horizontal="center" vertical="center" wrapText="1"/>
    </xf>
    <xf numFmtId="164" fontId="14" fillId="9" borderId="1" applyAlignment="1" pivotButton="0" quotePrefix="0" xfId="0">
      <alignment horizontal="right" vertical="center" wrapText="1"/>
    </xf>
    <xf numFmtId="0" fontId="2" fillId="9" borderId="1" applyAlignment="1" pivotButton="0" quotePrefix="0" xfId="0">
      <alignment horizontal="left" vertical="center" wrapText="1"/>
    </xf>
    <xf numFmtId="0" fontId="6" fillId="6" borderId="1" applyAlignment="1" pivotButton="0" quotePrefix="0" xfId="0">
      <alignment horizontal="center" vertical="center" wrapText="1"/>
    </xf>
    <xf numFmtId="164" fontId="6" fillId="6" borderId="1" applyAlignment="1" pivotButton="0" quotePrefix="0" xfId="0">
      <alignment horizontal="right" vertical="center" wrapText="1"/>
    </xf>
    <xf numFmtId="164" fontId="10" fillId="4" borderId="1" applyAlignment="1" pivotButton="0" quotePrefix="0" xfId="0">
      <alignment horizontal="right" vertical="center" wrapText="1"/>
    </xf>
    <xf numFmtId="165" fontId="6" fillId="4" borderId="1" applyAlignment="1" pivotButton="0" quotePrefix="0" xfId="0">
      <alignment horizontal="left" vertical="center" wrapText="1"/>
    </xf>
    <xf numFmtId="165" fontId="10" fillId="4" borderId="1" applyAlignment="1" pivotButton="0" quotePrefix="0" xfId="0">
      <alignment horizontal="left" vertical="center" wrapText="1"/>
    </xf>
    <xf numFmtId="165" fontId="14" fillId="4" borderId="1" applyAlignment="1" pivotButton="0" quotePrefix="0" xfId="0">
      <alignment horizontal="left" vertical="center" wrapText="1"/>
    </xf>
    <xf numFmtId="165" fontId="6" fillId="6" borderId="1" applyAlignment="1" pivotButton="0" quotePrefix="0" xfId="0">
      <alignment horizontal="left" vertical="center" wrapText="1"/>
    </xf>
    <xf numFmtId="165" fontId="10" fillId="6" borderId="1" applyAlignment="1" pivotButton="0" quotePrefix="0" xfId="0">
      <alignment horizontal="left" vertical="center" wrapText="1"/>
    </xf>
    <xf numFmtId="165" fontId="14" fillId="6" borderId="1" applyAlignment="1" pivotButton="0" quotePrefix="0" xfId="0">
      <alignment horizontal="left" vertical="center" wrapText="1"/>
    </xf>
    <xf numFmtId="165" fontId="6" fillId="9" borderId="1" applyAlignment="1" pivotButton="0" quotePrefix="0" xfId="0">
      <alignment horizontal="left" vertical="center" wrapText="1"/>
    </xf>
    <xf numFmtId="165" fontId="10" fillId="9" borderId="1" applyAlignment="1" pivotButton="0" quotePrefix="0" xfId="0">
      <alignment horizontal="left" vertical="center" wrapText="1"/>
    </xf>
    <xf numFmtId="165" fontId="14" fillId="9" borderId="1" applyAlignment="1" pivotButton="0" quotePrefix="0" xfId="0">
      <alignment horizontal="left" vertical="center" wrapText="1"/>
    </xf>
    <xf numFmtId="165" fontId="14" fillId="4" borderId="1" applyAlignment="1" pivotButton="0" quotePrefix="0" xfId="0">
      <alignment horizontal="right" vertical="center" wrapText="1"/>
    </xf>
    <xf numFmtId="165" fontId="6" fillId="4" borderId="1" applyAlignment="1" pivotButton="0" quotePrefix="0" xfId="0">
      <alignment horizontal="right" vertical="center" wrapText="1"/>
    </xf>
    <xf numFmtId="165" fontId="10" fillId="4" borderId="1" applyAlignment="1" pivotButton="0" quotePrefix="0" xfId="0">
      <alignment horizontal="right" vertical="center" wrapText="1"/>
    </xf>
    <xf numFmtId="165" fontId="14" fillId="9" borderId="1" applyAlignment="1" pivotButton="0" quotePrefix="0" xfId="0">
      <alignment horizontal="right" vertical="center" wrapText="1"/>
    </xf>
    <xf numFmtId="165" fontId="10" fillId="8" borderId="1" applyAlignment="1" pivotButton="0" quotePrefix="0" xfId="0">
      <alignment horizontal="right" vertical="center" wrapText="1"/>
    </xf>
    <xf numFmtId="165" fontId="10" fillId="5" borderId="1" applyAlignment="1" pivotButton="0" quotePrefix="0" xfId="0">
      <alignment horizontal="right" vertical="center" wrapText="1"/>
    </xf>
    <xf numFmtId="165" fontId="14" fillId="6" borderId="1" applyAlignment="1" pivotButton="0" quotePrefix="0" xfId="0">
      <alignment horizontal="right" vertical="center" wrapText="1"/>
    </xf>
    <xf numFmtId="165" fontId="6" fillId="6" borderId="1" applyAlignment="1" pivotButton="0" quotePrefix="0" xfId="0">
      <alignment horizontal="right" vertical="center" wrapText="1"/>
    </xf>
    <xf numFmtId="165" fontId="10" fillId="6" borderId="1" applyAlignment="1" pivotButton="0" quotePrefix="0" xfId="0">
      <alignment horizontal="right" vertical="center" wrapText="1"/>
    </xf>
    <xf numFmtId="0" fontId="14" fillId="4" borderId="1" applyAlignment="1" pivotButton="0" quotePrefix="0" xfId="0">
      <alignment horizontal="center" vertical="center" wrapText="1"/>
    </xf>
    <xf numFmtId="0" fontId="8" fillId="8" borderId="1" applyAlignment="1" pivotButton="0" quotePrefix="0" xfId="0">
      <alignment horizontal="center" vertical="center" wrapText="1"/>
    </xf>
    <xf numFmtId="0" fontId="14" fillId="6" borderId="1" applyAlignment="1" pivotButton="0" quotePrefix="0" xfId="0">
      <alignment horizontal="center" vertical="center" wrapText="1"/>
    </xf>
    <xf numFmtId="0" fontId="10" fillId="9" borderId="1" applyAlignment="1" pivotButton="0" quotePrefix="0" xfId="0">
      <alignment horizontal="center" vertical="center" wrapText="1"/>
    </xf>
    <xf numFmtId="0" fontId="7" fillId="9" borderId="1" applyAlignment="1" pivotButton="0" quotePrefix="0" xfId="0">
      <alignment horizontal="center" vertical="center" wrapText="1"/>
    </xf>
    <xf numFmtId="0" fontId="10" fillId="8" borderId="1" applyAlignment="1" pivotButton="0" quotePrefix="0" xfId="0">
      <alignment horizontal="center" vertical="center" wrapText="1"/>
    </xf>
    <xf numFmtId="0" fontId="6" fillId="8" borderId="1" applyAlignment="1" pivotButton="0" quotePrefix="0" xfId="0">
      <alignment horizontal="center" vertical="center" wrapText="1"/>
    </xf>
    <xf numFmtId="0" fontId="4" fillId="3" borderId="0" applyAlignment="1" pivotButton="0" quotePrefix="0" xfId="0">
      <alignment horizontal="center" vertical="center"/>
    </xf>
    <xf numFmtId="0" fontId="18" fillId="3" borderId="0" applyAlignment="1" pivotButton="0" quotePrefix="0" xfId="0">
      <alignment horizontal="center" vertical="center"/>
    </xf>
    <xf numFmtId="0" fontId="5" fillId="0" borderId="0" applyAlignment="1" pivotButton="0" quotePrefix="0" xfId="0">
      <alignment vertical="center"/>
    </xf>
    <xf numFmtId="0" fontId="0" fillId="10" borderId="0" pivotButton="0" quotePrefix="0" xfId="0"/>
    <xf numFmtId="0" fontId="0" fillId="11" borderId="0" pivotButton="0" quotePrefix="0" xfId="0"/>
    <xf numFmtId="0" fontId="0" fillId="12" borderId="0" pivotButton="0" quotePrefix="0" xfId="0"/>
    <xf numFmtId="0" fontId="0" fillId="13" borderId="0" pivotButton="0" quotePrefix="0" xfId="0"/>
    <xf numFmtId="0" fontId="0" fillId="14" borderId="0" pivotButton="0" quotePrefix="0" xfId="0"/>
    <xf numFmtId="0" fontId="19" fillId="6" borderId="1" applyAlignment="1" pivotButton="0" quotePrefix="0" xfId="0">
      <alignment horizontal="left" vertical="center" wrapText="1"/>
    </xf>
    <xf numFmtId="0" fontId="19" fillId="4"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charts/chart1.xml><?xml version="1.0" encoding="utf-8"?>
<chartSpace xmlns="http://schemas.openxmlformats.org/drawingml/2006/chart">
  <style val="10"/>
  <chart>
    <title>
      <tx>
        <rich>
          <a:bodyPr xmlns:a="http://schemas.openxmlformats.org/drawingml/2006/main"/>
          <a:p xmlns:a="http://schemas.openxmlformats.org/drawingml/2006/main">
            <a:pPr>
              <a:defRPr/>
            </a:pPr>
            <a:r>
              <a:t>Platform Margin Potential by Horizon ($M/yr)  ·  Base case 20 orders/SKU</a:t>
            </a:r>
          </a:p>
        </rich>
      </tx>
    </title>
    <plotArea>
      <barChart>
        <barDir val="bar"/>
        <grouping val="clustered"/>
        <ser>
          <idx val="0"/>
          <order val="0"/>
          <tx>
            <strRef>
              <f>'Market Sizing (TAM·SAM·SOM)'!B33</f>
            </strRef>
          </tx>
          <spPr>
            <a:solidFill xmlns:a="http://schemas.openxmlformats.org/drawingml/2006/main">
              <a:srgbClr val="2B5A18"/>
            </a:solidFill>
            <a:ln xmlns:a="http://schemas.openxmlformats.org/drawingml/2006/main">
              <a:prstDash val="solid"/>
            </a:ln>
          </spPr>
          <cat>
            <numRef>
              <f>'Market Sizing (TAM·SAM·SOM)'!$A$34:$A$37</f>
            </numRef>
          </cat>
          <val>
            <numRef>
              <f>'Market Sizing (TAM·SAM·SOM)'!$B$34:$B$37</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Platform margin ($M/yr)</a:t>
                </a:r>
              </a:p>
            </rich>
          </tx>
        </title>
        <majorTickMark val="none"/>
        <minorTickMark val="none"/>
        <crossAx val="10"/>
      </valAx>
    </plotArea>
    <legend>
      <legendPos val="r"/>
    </legend>
    <plotVisOnly val="1"/>
    <dispBlanksAs val="gap"/>
  </chart>
</chartSpace>
</file>

<file path=xl/charts/chart2.xml><?xml version="1.0" encoding="utf-8"?>
<chartSpace xmlns="http://schemas.openxmlformats.org/drawingml/2006/chart">
  <style val="2"/>
  <chart>
    <title>
      <tx>
        <rich>
          <a:bodyPr xmlns:a="http://schemas.openxmlformats.org/drawingml/2006/main"/>
          <a:p xmlns:a="http://schemas.openxmlformats.org/drawingml/2006/main">
            <a:pPr>
              <a:defRPr/>
            </a:pPr>
            <a:r>
              <a:t>Revenue Scenarios — Monthly &amp; Annual ($K)</a:t>
            </a:r>
          </a:p>
        </rich>
      </tx>
    </title>
    <plotArea>
      <barChart>
        <barDir val="col"/>
        <grouping val="clustered"/>
        <ser>
          <idx val="0"/>
          <order val="0"/>
          <tx>
            <strRef>
              <f>'OKRs &amp; KPIs'!B35</f>
            </strRef>
          </tx>
          <spPr>
            <a:solidFill xmlns:a="http://schemas.openxmlformats.org/drawingml/2006/main">
              <a:srgbClr val="B45309"/>
            </a:solidFill>
            <a:ln xmlns:a="http://schemas.openxmlformats.org/drawingml/2006/main">
              <a:prstDash val="solid"/>
            </a:ln>
          </spPr>
          <cat>
            <numRef>
              <f>'OKRs &amp; KPIs'!$A$36:$A$38</f>
            </numRef>
          </cat>
          <val>
            <numRef>
              <f>'OKRs &amp; KPIs'!$B$36:$B$38</f>
            </numRef>
          </val>
        </ser>
        <ser>
          <idx val="1"/>
          <order val="1"/>
          <tx>
            <strRef>
              <f>'OKRs &amp; KPIs'!C35</f>
            </strRef>
          </tx>
          <spPr>
            <a:solidFill xmlns:a="http://schemas.openxmlformats.org/drawingml/2006/main">
              <a:srgbClr val="2B5A18"/>
            </a:solidFill>
            <a:ln xmlns:a="http://schemas.openxmlformats.org/drawingml/2006/main">
              <a:prstDash val="solid"/>
            </a:ln>
          </spPr>
          <cat>
            <numRef>
              <f>'OKRs &amp; KPIs'!$A$36:$A$38</f>
            </numRef>
          </cat>
          <val>
            <numRef>
              <f>'OKRs &amp; KPIs'!$C$36:$C$38</f>
            </numRef>
          </val>
        </ser>
        <dLbls>
          <dLblPos val="outEnd"/>
          <showLegendKey val="0"/>
          <showVal val="1"/>
          <showCatName val="0"/>
          <showSerName val="0"/>
        </dLbls>
        <gapWidth val="150"/>
        <axId val="10"/>
        <axId val="100"/>
      </barChart>
      <catAx>
        <axId val="10"/>
        <scaling>
          <orientation val="minMax"/>
        </scaling>
        <axPos val="l"/>
        <title>
          <tx>
            <rich>
              <a:bodyPr xmlns:a="http://schemas.openxmlformats.org/drawingml/2006/main"/>
              <a:p xmlns:a="http://schemas.openxmlformats.org/drawingml/2006/main">
                <a:pPr>
                  <a:defRPr/>
                </a:pPr>
                <a:r>
                  <a:t>Scenario</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$K</a:t>
                </a:r>
              </a:p>
            </rich>
          </tx>
        </title>
        <majorTickMark val="none"/>
        <minorTickMark val="none"/>
        <crossAx val="10"/>
      </valAx>
    </plotArea>
    <legend>
      <legendPos val="r"/>
    </legend>
    <plotVisOnly val="1"/>
    <dispBlanksAs val="gap"/>
  </chart>
</chartSpace>
</file>

<file path=xl/charts/chart3.xml><?xml version="1.0" encoding="utf-8"?>
<chartSpace xmlns="http://schemas.openxmlformats.org/drawingml/2006/chart">
  <style val="2"/>
  <chart>
    <title>
      <tx>
        <rich>
          <a:bodyPr xmlns:a="http://schemas.openxmlformats.org/drawingml/2006/main"/>
          <a:p xmlns:a="http://schemas.openxmlformats.org/drawingml/2006/main">
            <a:pPr>
              <a:defRPr/>
            </a:pPr>
            <a:r>
              <a:t>Demand Signal Trajectory · Orders/SKU/month · ◆ = Month 2 kill gate (&lt;15)</a:t>
            </a:r>
          </a:p>
        </rich>
      </tx>
    </title>
    <plotArea>
      <lineChart>
        <grouping val="standard"/>
        <ser>
          <idx val="0"/>
          <order val="0"/>
          <tx>
            <strRef>
              <f>'Proxy Data &amp; Metrics'!B32</f>
            </strRef>
          </tx>
          <spPr>
            <a:ln xmlns:a="http://schemas.openxmlformats.org/drawingml/2006/main">
              <a:solidFill>
                <a:srgbClr val="B45309"/>
              </a:solidFill>
              <a:prstDash val="solid"/>
            </a:ln>
          </spPr>
          <marker>
            <symbol val="none"/>
            <spPr>
              <a:ln xmlns:a="http://schemas.openxmlformats.org/drawingml/2006/main">
                <a:prstDash val="solid"/>
              </a:ln>
            </spPr>
          </marker>
          <cat>
            <numRef>
              <f>'Proxy Data &amp; Metrics'!$A$33:$A$36</f>
            </numRef>
          </cat>
          <val>
            <numRef>
              <f>'Proxy Data &amp; Metrics'!$B$33:$B$36</f>
            </numRef>
          </val>
        </ser>
        <ser>
          <idx val="1"/>
          <order val="1"/>
          <tx>
            <strRef>
              <f>'Proxy Data &amp; Metrics'!C32</f>
            </strRef>
          </tx>
          <spPr>
            <a:ln xmlns:a="http://schemas.openxmlformats.org/drawingml/2006/main">
              <a:solidFill>
                <a:srgbClr val="2B5A18"/>
              </a:solidFill>
              <a:prstDash val="solid"/>
            </a:ln>
          </spPr>
          <marker>
            <symbol val="none"/>
            <spPr>
              <a:ln xmlns:a="http://schemas.openxmlformats.org/drawingml/2006/main">
                <a:prstDash val="solid"/>
              </a:ln>
            </spPr>
          </marker>
          <cat>
            <numRef>
              <f>'Proxy Data &amp; Metrics'!$A$33:$A$36</f>
            </numRef>
          </cat>
          <val>
            <numRef>
              <f>'Proxy Data &amp; Metrics'!$C$33:$C$36</f>
            </numRef>
          </val>
        </ser>
        <ser>
          <idx val="2"/>
          <order val="2"/>
          <tx>
            <strRef>
              <f>'Proxy Data &amp; Metrics'!D32</f>
            </strRef>
          </tx>
          <spPr>
            <a:ln xmlns:a="http://schemas.openxmlformats.org/drawingml/2006/main">
              <a:solidFill>
                <a:srgbClr val="1D6B0F"/>
              </a:solidFill>
              <a:prstDash val="solid"/>
            </a:ln>
          </spPr>
          <marker>
            <symbol val="none"/>
            <spPr>
              <a:ln xmlns:a="http://schemas.openxmlformats.org/drawingml/2006/main">
                <a:prstDash val="solid"/>
              </a:ln>
            </spPr>
          </marker>
          <cat>
            <numRef>
              <f>'Proxy Data &amp; Metrics'!$A$33:$A$36</f>
            </numRef>
          </cat>
          <val>
            <numRef>
              <f>'Proxy Data &amp; Metrics'!$D$33:$D$36</f>
            </numRef>
          </val>
        </ser>
        <axId val="10"/>
        <axId val="100"/>
      </lineChart>
      <catAx>
        <axId val="10"/>
        <scaling>
          <orientation val="minMax"/>
        </scaling>
        <axPos val="l"/>
        <title>
          <tx>
            <rich>
              <a:bodyPr xmlns:a="http://schemas.openxmlformats.org/drawingml/2006/main"/>
              <a:p xmlns:a="http://schemas.openxmlformats.org/drawingml/2006/main">
                <a:pPr>
                  <a:defRPr/>
                </a:pPr>
                <a:r>
                  <a:t>Timepoint</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Orders / SKU / month</a:t>
                </a:r>
              </a:p>
            </rich>
          </tx>
        </title>
        <majorTickMark val="none"/>
        <minorTickMark val="none"/>
        <crossAx val="10"/>
      </valAx>
    </plotArea>
    <legend>
      <legendPos val="r"/>
    </legend>
    <plotVisOnly val="1"/>
    <dispBlanksAs val="gap"/>
  </chart>
</chartSpace>
</file>

<file path=xl/charts/chart4.xml><?xml version="1.0" encoding="utf-8"?>
<chartSpace xmlns="http://schemas.openxmlformats.org/drawingml/2006/chart">
  <style val="2"/>
  <chart>
    <title>
      <tx>
        <rich>
          <a:bodyPr xmlns:a="http://schemas.openxmlformats.org/drawingml/2006/main"/>
          <a:p xmlns:a="http://schemas.openxmlformats.org/drawingml/2006/main">
            <a:pPr>
              <a:defRPr/>
            </a:pPr>
            <a:r>
              <a:t>Monthly Margin vs Annual÷12 ($K) — 3 Scenarios · $340K investment line at 340K/12≈$28K</a:t>
            </a:r>
          </a:p>
        </rich>
      </tx>
    </title>
    <plotArea>
      <barChart>
        <barDir val="col"/>
        <grouping val="clustered"/>
        <ser>
          <idx val="0"/>
          <order val="0"/>
          <tx>
            <strRef>
              <f>'Business Case'!B42</f>
            </strRef>
          </tx>
          <spPr>
            <a:ln xmlns:a="http://schemas.openxmlformats.org/drawingml/2006/main">
              <a:prstDash val="solid"/>
            </a:ln>
          </spPr>
          <cat>
            <numRef>
              <f>'Business Case'!$A$43:$A$45</f>
            </numRef>
          </cat>
          <val>
            <numRef>
              <f>'Business Case'!$B$43:$B$45</f>
            </numRef>
          </val>
        </ser>
        <ser>
          <idx val="1"/>
          <order val="1"/>
          <tx>
            <strRef>
              <f>'Business Case'!C42</f>
            </strRef>
          </tx>
          <spPr>
            <a:ln xmlns:a="http://schemas.openxmlformats.org/drawingml/2006/main">
              <a:prstDash val="solid"/>
            </a:ln>
          </spPr>
          <cat>
            <numRef>
              <f>'Business Case'!$A$43:$A$45</f>
            </numRef>
          </cat>
          <val>
            <numRef>
              <f>'Business Case'!$C$43:$C$45</f>
            </numRef>
          </val>
        </ser>
        <dLbls>
          <dLblPos val="outEnd"/>
          <showLegendKey val="0"/>
          <showVal val="1"/>
          <showCatName val="0"/>
          <showSerName val="0"/>
        </dLbls>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$K / month</a:t>
                </a:r>
              </a:p>
            </rich>
          </tx>
        </title>
        <majorTickMark val="none"/>
        <minorTickMark val="none"/>
        <crossAx val="10"/>
      </valAx>
    </plotArea>
    <legend>
      <legendPos val="r"/>
    </legend>
    <plotVisOnly val="1"/>
    <dispBlanksAs val="gap"/>
  </chart>
</chartSpace>
</file>

<file path=xl/charts/chart5.xml><?xml version="1.0" encoding="utf-8"?>
<chartSpace xmlns="http://schemas.openxmlformats.org/drawingml/2006/chart">
  <style val="2"/>
  <chart>
    <title>
      <tx>
        <rich>
          <a:bodyPr xmlns:a="http://schemas.openxmlformats.org/drawingml/2006/main"/>
          <a:p xmlns:a="http://schemas.openxmlformats.org/drawingml/2006/main">
            <a:pPr>
              <a:defRPr/>
            </a:pPr>
            <a:r>
              <a:t>Monthly Revenue Trajectory ($K) — 150 SKU Pilot → 1,500 SKU Scale</a:t>
            </a:r>
          </a:p>
        </rich>
      </tx>
    </title>
    <plotArea>
      <barChart>
        <barDir val="col"/>
        <grouping val="clustered"/>
        <ser>
          <idx val="0"/>
          <order val="0"/>
          <tx>
            <strRef>
              <f>'Business Case'!B73</f>
            </strRef>
          </tx>
          <spPr>
            <a:solidFill xmlns:a="http://schemas.openxmlformats.org/drawingml/2006/main">
              <a:srgbClr val="B45309"/>
            </a:solidFill>
            <a:ln xmlns:a="http://schemas.openxmlformats.org/drawingml/2006/main">
              <a:prstDash val="solid"/>
            </a:ln>
          </spPr>
          <cat>
            <numRef>
              <f>'Business Case'!$A$74:$A$78</f>
            </numRef>
          </cat>
          <val>
            <numRef>
              <f>'Business Case'!$B$74:$B$78</f>
            </numRef>
          </val>
        </ser>
        <ser>
          <idx val="1"/>
          <order val="1"/>
          <tx>
            <strRef>
              <f>'Business Case'!C73</f>
            </strRef>
          </tx>
          <spPr>
            <a:solidFill xmlns:a="http://schemas.openxmlformats.org/drawingml/2006/main">
              <a:srgbClr val="587048"/>
            </a:solidFill>
            <a:ln xmlns:a="http://schemas.openxmlformats.org/drawingml/2006/main">
              <a:prstDash val="solid"/>
            </a:ln>
          </spPr>
          <cat>
            <numRef>
              <f>'Business Case'!$A$74:$A$78</f>
            </numRef>
          </cat>
          <val>
            <numRef>
              <f>'Business Case'!$C$74:$C$78</f>
            </numRef>
          </val>
        </ser>
        <ser>
          <idx val="2"/>
          <order val="2"/>
          <tx>
            <strRef>
              <f>'Business Case'!D73</f>
            </strRef>
          </tx>
          <spPr>
            <a:solidFill xmlns:a="http://schemas.openxmlformats.org/drawingml/2006/main">
              <a:srgbClr val="276230"/>
            </a:solidFill>
            <a:ln xmlns:a="http://schemas.openxmlformats.org/drawingml/2006/main">
              <a:prstDash val="solid"/>
            </a:ln>
          </spPr>
          <cat>
            <numRef>
              <f>'Business Case'!$A$74:$A$78</f>
            </numRef>
          </cat>
          <val>
            <numRef>
              <f>'Business Case'!$D$74:$D$78</f>
            </numRef>
          </val>
        </ser>
        <dLbls>
          <dLblPos val="outEnd"/>
          <showLegendKey val="0"/>
          <showVal val="1"/>
          <showCatName val="0"/>
          <showSerName val="0"/>
        </dLbls>
        <gapWidth val="150"/>
        <axId val="10"/>
        <axId val="100"/>
      </barChart>
      <catAx>
        <axId val="10"/>
        <scaling>
          <orientation val="minMax"/>
        </scaling>
        <axPos val="l"/>
        <title>
          <tx>
            <rich>
              <a:bodyPr xmlns:a="http://schemas.openxmlformats.org/drawingml/2006/main"/>
              <a:p xmlns:a="http://schemas.openxmlformats.org/drawingml/2006/main">
                <a:pPr>
                  <a:defRPr/>
                </a:pPr>
                <a:r>
                  <a:t>Month (post-launch)</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Monthly margin ($K)</a:t>
                </a:r>
              </a:p>
            </rich>
          </tx>
        </title>
        <majorTickMark val="none"/>
        <minorTickMark val="none"/>
        <crossAx val="10"/>
      </valAx>
    </plotArea>
    <legend>
      <legendPos val="r"/>
    </legend>
    <plotVisOnly val="1"/>
    <dispBlanksAs val="gap"/>
  </chart>
</chartSpace>
</file>

<file path=xl/charts/chart6.xml><?xml version="1.0" encoding="utf-8"?>
<chartSpace xmlns="http://schemas.openxmlformats.org/drawingml/2006/chart">
  <style val="2"/>
  <chart>
    <title>
      <tx>
        <rich>
          <a:bodyPr xmlns:a="http://schemas.openxmlformats.org/drawingml/2006/main"/>
          <a:p xmlns:a="http://schemas.openxmlformats.org/drawingml/2006/main">
            <a:pPr>
              <a:defRPr/>
            </a:pPr>
            <a:r>
              <a:t>Investment Phasing — Phase Cost &amp; Cumulative ($K)</a:t>
            </a:r>
          </a:p>
        </rich>
      </tx>
    </title>
    <plotArea>
      <barChart>
        <barDir val="col"/>
        <grouping val="clustered"/>
        <ser>
          <idx val="0"/>
          <order val="0"/>
          <tx>
            <strRef>
              <f>'Roadmap'!B21</f>
            </strRef>
          </tx>
          <spPr>
            <a:ln xmlns:a="http://schemas.openxmlformats.org/drawingml/2006/main">
              <a:prstDash val="solid"/>
            </a:ln>
          </spPr>
          <cat>
            <numRef>
              <f>'Roadmap'!$A$22:$A$26</f>
            </numRef>
          </cat>
          <val>
            <numRef>
              <f>'Roadmap'!$B$22:$B$26</f>
            </numRef>
          </val>
        </ser>
        <ser>
          <idx val="1"/>
          <order val="1"/>
          <tx>
            <strRef>
              <f>'Roadmap'!C21</f>
            </strRef>
          </tx>
          <spPr>
            <a:ln xmlns:a="http://schemas.openxmlformats.org/drawingml/2006/main">
              <a:prstDash val="solid"/>
            </a:ln>
          </spPr>
          <cat>
            <numRef>
              <f>'Roadmap'!$A$22:$A$26</f>
            </numRef>
          </cat>
          <val>
            <numRef>
              <f>'Roadmap'!$C$22:$C$26</f>
            </numRef>
          </val>
        </ser>
        <dLbls>
          <dLblPos val="outEnd"/>
          <showLegendKey val="0"/>
          <showVal val="1"/>
          <showCatName val="0"/>
          <showSerName val="0"/>
        </dLbls>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$K</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_rels/drawing2.xml.rels><Relationships xmlns="http://schemas.openxmlformats.org/package/2006/relationships"><Relationship Type="http://schemas.openxmlformats.org/officeDocument/2006/relationships/chart" Target="/xl/charts/chart2.xml" Id="rId1"/></Relationships>
</file>

<file path=xl/drawings/_rels/drawing3.xml.rels><Relationships xmlns="http://schemas.openxmlformats.org/package/2006/relationships"><Relationship Type="http://schemas.openxmlformats.org/officeDocument/2006/relationships/chart" Target="/xl/charts/chart3.xml" Id="rId1"/></Relationships>
</file>

<file path=xl/drawings/_rels/drawing4.xml.rels><Relationships xmlns="http://schemas.openxmlformats.org/package/2006/relationships"><Relationship Type="http://schemas.openxmlformats.org/officeDocument/2006/relationships/chart" Target="/xl/charts/chart4.xml" Id="rId1"/><Relationship Type="http://schemas.openxmlformats.org/officeDocument/2006/relationships/chart" Target="/xl/charts/chart5.xml" Id="rId2"/></Relationships>
</file>

<file path=xl/drawings/_rels/drawing5.xml.rels><Relationships xmlns="http://schemas.openxmlformats.org/package/2006/relationships"><Relationship Type="http://schemas.openxmlformats.org/officeDocument/2006/relationships/chart" Target="/xl/charts/chart6.xml" Id="rId1"/></Relationships>
</file>

<file path=xl/drawings/drawing1.xml><?xml version="1.0" encoding="utf-8"?>
<wsDr xmlns="http://schemas.openxmlformats.org/drawingml/2006/spreadsheetDrawing">
  <oneCellAnchor>
    <from>
      <col>3</col>
      <colOff>0</colOff>
      <row>11</row>
      <rowOff>0</rowOff>
    </from>
    <ext cx="5760000" cy="36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2.xml><?xml version="1.0" encoding="utf-8"?>
<wsDr xmlns="http://schemas.openxmlformats.org/drawingml/2006/spreadsheetDrawing">
  <oneCellAnchor>
    <from>
      <col>0</col>
      <colOff>0</colOff>
      <row>39</row>
      <rowOff>0</rowOff>
    </from>
    <ext cx="6480000" cy="396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3.xml><?xml version="1.0" encoding="utf-8"?>
<wsDr xmlns="http://schemas.openxmlformats.org/drawingml/2006/spreadsheetDrawing">
  <oneCellAnchor>
    <from>
      <col>0</col>
      <colOff>0</colOff>
      <row>37</row>
      <rowOff>0</rowOff>
    </from>
    <ext cx="7200000" cy="396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4.xml><?xml version="1.0" encoding="utf-8"?>
<wsDr xmlns="http://schemas.openxmlformats.org/drawingml/2006/spreadsheetDrawing">
  <oneCellAnchor>
    <from>
      <col>0</col>
      <colOff>0</colOff>
      <row>46</row>
      <rowOff>0</rowOff>
    </from>
    <ext cx="7200000" cy="396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0</col>
      <colOff>0</colOff>
      <row>79</row>
      <rowOff>0</rowOff>
    </from>
    <ext cx="7920000" cy="46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wsDr>
</file>

<file path=xl/drawings/drawing5.xml><?xml version="1.0" encoding="utf-8"?>
<wsDr xmlns="http://schemas.openxmlformats.org/drawingml/2006/spreadsheetDrawing">
  <oneCellAnchor>
    <from>
      <col>0</col>
      <colOff>0</colOff>
      <row>27</row>
      <rowOff>0</rowOff>
    </from>
    <ext cx="7200000" cy="396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hyperlink" Target="https://shelftrend.com" TargetMode="External" Id="rId1"/><Relationship Type="http://schemas.openxmlformats.org/officeDocument/2006/relationships/hyperlink" Target="https://shelftrend.com" TargetMode="External" Id="rId2"/><Relationship Type="http://schemas.openxmlformats.org/officeDocument/2006/relationships/hyperlink" Target="https://www.accio.com/business/amazon-mens-wallet-best-seller" TargetMode="External" Id="rId3"/><Relationship Type="http://schemas.openxmlformats.org/officeDocument/2006/relationships/hyperlink" Target="https://www.novaoneadvisor.com/report/us-leather-goods-market" TargetMode="External" Id="rId4"/><Relationship Type="http://schemas.openxmlformats.org/officeDocument/2006/relationships/hyperlink" Target="https://erank.com" TargetMode="External" Id="rId5"/><Relationship Type="http://schemas.openxmlformats.org/officeDocument/2006/relationships/hyperlink" Target="https://printkk.com" TargetMode="External" Id="rId6"/><Relationship Type="http://schemas.openxmlformats.org/officeDocument/2006/relationships/drawing" Target="/xl/drawings/drawing3.xml" Id="rId7"/></Relationships>
</file>

<file path=xl/worksheets/_rels/sheet4.xml.rels><Relationships xmlns="http://schemas.openxmlformats.org/package/2006/relationships"><Relationship Type="http://schemas.openxmlformats.org/officeDocument/2006/relationships/drawing" Target="/xl/drawings/drawing4.xml" Id="rId1"/></Relationships>
</file>

<file path=xl/worksheets/_rels/sheet6.xml.rels><Relationships xmlns="http://schemas.openxmlformats.org/package/2006/relationships"><Relationship Type="http://schemas.openxmlformats.org/officeDocument/2006/relationships/drawing" Target="/xl/drawings/drawing5.xml" Id="rId1"/></Relationships>
</file>

<file path=xl/worksheets/sheet1.xml><?xml version="1.0" encoding="utf-8"?>
<worksheet xmlns="http://schemas.openxmlformats.org/spreadsheetml/2006/main">
  <sheetPr>
    <outlinePr summaryBelow="1" summaryRight="1"/>
    <pageSetUpPr/>
  </sheetPr>
  <dimension ref="A1:G37"/>
  <sheetViews>
    <sheetView showGridLines="0" workbookViewId="0">
      <selection activeCell="A1" sqref="A1"/>
    </sheetView>
  </sheetViews>
  <sheetFormatPr baseColWidth="8" defaultRowHeight="15"/>
  <cols>
    <col width="16" customWidth="1" min="1" max="1"/>
    <col width="38" customWidth="1" min="2" max="2"/>
    <col width="22" customWidth="1" min="3" max="3"/>
    <col width="5" customWidth="1" min="4" max="4"/>
    <col width="30" customWidth="1" min="5" max="5"/>
    <col width="5" customWidth="1" min="6" max="6"/>
    <col width="18" customWidth="1" min="7" max="7"/>
  </cols>
  <sheetData>
    <row r="1" ht="30" customHeight="1">
      <c r="A1" s="1" t="inlineStr">
        <is>
          <t>US Personalized Leather — Market Sizing  ·  TAM / SAM / SOM</t>
        </is>
      </c>
    </row>
    <row r="2" ht="16" customHeight="1">
      <c r="A2" s="2" t="inlineStr">
        <is>
          <t>Why Printify should act now — the market we can capture and lead in the US gifting vertical</t>
        </is>
      </c>
    </row>
    <row r="3" ht="5" customHeight="1"/>
    <row r="4" ht="16" customHeight="1">
      <c r="A4" s="3" t="inlineStr">
        <is>
          <t>1. Market Funnel — TAM → SAM → SOM</t>
        </is>
      </c>
    </row>
    <row r="5" ht="28" customHeight="1">
      <c r="A5" s="4" t="inlineStr">
        <is>
          <t>Level</t>
        </is>
      </c>
      <c r="B5" s="4" t="inlineStr">
        <is>
          <t>What it means</t>
        </is>
      </c>
      <c r="C5" s="4" t="inlineStr">
        <is>
          <t>USA Market Size (GMV)</t>
        </is>
      </c>
      <c r="D5" s="4" t="inlineStr">
        <is>
          <t>Platform margin</t>
        </is>
      </c>
      <c r="E5" s="4" t="inlineStr">
        <is>
          <t>Basis / Assumption</t>
        </is>
      </c>
      <c r="F5" s="4" t="inlineStr">
        <is>
          <t>Status</t>
        </is>
      </c>
    </row>
    <row r="6" ht="44" customHeight="1">
      <c r="A6" s="5" t="inlineStr">
        <is>
          <t>TAM</t>
        </is>
      </c>
      <c r="B6" s="6" t="inlineStr">
        <is>
          <t>Total Addressable Market
All US personalized leather goods purchasable online</t>
        </is>
      </c>
      <c r="C6" s="7" t="inlineStr">
        <is>
          <t>$2.5B / yr</t>
        </is>
      </c>
      <c r="D6" s="7" t="inlineStr">
        <is>
          <t>—</t>
        </is>
      </c>
      <c r="E6" s="8" t="inlineStr">
        <is>
          <t>$54.26B US leather goods (Nova One Advisor 2025) × ~5% personalized/custom share × ~50% POD-accessible online channel</t>
        </is>
      </c>
      <c r="F6" s="7" t="inlineStr">
        <is>
          <t>Market exists</t>
        </is>
      </c>
    </row>
    <row r="7" ht="44" customHeight="1">
      <c r="A7" s="9" t="inlineStr">
        <is>
          <t>SAM</t>
        </is>
      </c>
      <c r="B7" s="10" t="inlineStr">
        <is>
          <t>Serviceable Addressable Market
POD Decorators Printify can realistically reach in the US</t>
        </is>
      </c>
      <c r="C7" s="11" t="inlineStr">
        <is>
          <t>~$375M / yr</t>
        </is>
      </c>
      <c r="D7" s="11" t="inlineStr">
        <is>
          <t>~$30M / yr</t>
        </is>
      </c>
      <c r="E7" s="12" t="inlineStr">
        <is>
          <t>TAM × ~15% Printify POD platform market share. Platform margin estimated at ~8% of GMV ($8 margin on ~$40–$80 AOV)</t>
        </is>
      </c>
      <c r="F7" s="11" t="inlineStr">
        <is>
          <t>Reachable</t>
        </is>
      </c>
    </row>
    <row r="8" ht="44" customHeight="1">
      <c r="A8" s="13" t="inlineStr">
        <is>
          <t>SOM — Year 1
(Post kill-gate)</t>
        </is>
      </c>
      <c r="B8" s="14" t="inlineStr">
        <is>
          <t>Serviceable Obtainable Market · Year 1
20 Decorators · 600 SKUs · base case 20 orders/SKU/mo
Pilot (5 Dec) passes G2 gate → scale to 20 Dec by Month 12</t>
        </is>
      </c>
      <c r="C8" s="15" t="inlineStr">
        <is>
          <t>$576K / yr GMV</t>
        </is>
      </c>
      <c r="D8" s="15" t="inlineStr">
        <is>
          <t>~$1.2M / yr</t>
        </is>
      </c>
      <c r="E8" s="16" t="inlineStr">
        <is>
          <t>600 SKUs × 20 orders/SKU/mo × $8 × 12 months. Assumes kill gate passed at Month 2 and ramp to 20 Decorators by end of Year 1. Pilot alone (5 Dec): $288K/yr.</t>
        </is>
      </c>
      <c r="F8" s="15" t="inlineStr">
        <is>
          <t>▶ GO</t>
        </is>
      </c>
    </row>
    <row r="9" ht="44" customHeight="1">
      <c r="A9" s="17" t="inlineStr">
        <is>
          <t>SOM — Year 2
(Scale to 50 Dec)</t>
        </is>
      </c>
      <c r="B9" s="18" t="inlineStr">
        <is>
          <t>Serviceable Obtainable Market · Year 2
50 Decorators · 1,500 SKUs · base case</t>
        </is>
      </c>
      <c r="C9" s="19" t="inlineStr">
        <is>
          <t>$1.44M / yr GMV</t>
        </is>
      </c>
      <c r="D9" s="19" t="inlineStr">
        <is>
          <t>$2.9M / yr</t>
        </is>
      </c>
      <c r="E9" s="20" t="inlineStr">
        <is>
          <t>1,500 SKUs × 20 orders/SKU/mo × $8 × 12. Requires G2 kill gate passed and catalog expansion approved. Optimistic (50/SKU): $7.2M/yr.</t>
        </is>
      </c>
      <c r="F9" s="21" t="inlineStr">
        <is>
          <t>If GO</t>
        </is>
      </c>
    </row>
    <row r="10" ht="44" customHeight="1">
      <c r="A10" s="22" t="inlineStr">
        <is>
          <t>SOM — Year 5
(Market Leadership)</t>
        </is>
      </c>
      <c r="B10" s="10" t="inlineStr">
        <is>
          <t>Serviceable Obtainable Market · Year 5
Default global POD platform for FTC-compliant leather
50% SAM capture · namespace:leather lock-in</t>
        </is>
      </c>
      <c r="C10" s="23" t="inlineStr">
        <is>
          <t>~$187M / yr GMV</t>
        </is>
      </c>
      <c r="D10" s="23" t="inlineStr">
        <is>
          <t>$18.7M / yr</t>
        </is>
      </c>
      <c r="E10" s="12" t="inlineStr">
        <is>
          <t>$375M SAM × 50% Printify capture × ~10% blended platform margin. Requires Shopify App Store v2, namespace:leather spec lock-in, and catalog stickiness from early Decorator onboarding.</t>
        </is>
      </c>
      <c r="F10" s="11" t="inlineStr">
        <is>
          <t>Leadership</t>
        </is>
      </c>
    </row>
    <row r="11" ht="5" customHeight="1"/>
    <row r="12" ht="16" customHeight="1">
      <c r="A12" s="3" t="inlineStr">
        <is>
          <t>2. How the Numbers Are Built</t>
        </is>
      </c>
    </row>
    <row r="13" ht="28" customHeight="1">
      <c r="A13" s="4" t="inlineStr">
        <is>
          <t>Step</t>
        </is>
      </c>
      <c r="B13" s="4" t="inlineStr">
        <is>
          <t>Input</t>
        </is>
      </c>
      <c r="C13" s="4" t="inlineStr">
        <is>
          <t>Value</t>
        </is>
      </c>
      <c r="D13" s="4" t="inlineStr">
        <is>
          <t>×</t>
        </is>
      </c>
      <c r="E13" s="4" t="inlineStr">
        <is>
          <t>Multiplier</t>
        </is>
      </c>
      <c r="F13" s="4" t="inlineStr">
        <is>
          <t>=</t>
        </is>
      </c>
      <c r="G13" s="4" t="inlineStr">
        <is>
          <t>Result</t>
        </is>
      </c>
    </row>
    <row r="14" ht="18" customHeight="1">
      <c r="A14" s="24" t="inlineStr">
        <is>
          <t>TAM</t>
        </is>
      </c>
      <c r="B14" s="6" t="inlineStr">
        <is>
          <t>US Leather Goods Market (Nova One Advisor 2025)</t>
        </is>
      </c>
      <c r="C14" s="25" t="inlineStr">
        <is>
          <t>$54.26B</t>
        </is>
      </c>
      <c r="D14" s="7" t="inlineStr">
        <is>
          <t>×</t>
        </is>
      </c>
      <c r="E14" s="8" t="inlineStr">
        <is>
          <t>5% personalized custom</t>
        </is>
      </c>
      <c r="F14" s="7" t="inlineStr">
        <is>
          <t>=</t>
        </is>
      </c>
      <c r="G14" s="25" t="inlineStr">
        <is>
          <t>~$2.7B</t>
        </is>
      </c>
    </row>
    <row r="15" ht="18" customHeight="1">
      <c r="A15" s="24" t="inlineStr">
        <is>
          <t>TAM</t>
        </is>
      </c>
      <c r="B15" s="6" t="inlineStr">
        <is>
          <t>Personalized segment</t>
        </is>
      </c>
      <c r="C15" s="25" t="inlineStr">
        <is>
          <t>$2.7B</t>
        </is>
      </c>
      <c r="D15" s="7" t="inlineStr">
        <is>
          <t>×</t>
        </is>
      </c>
      <c r="E15" s="8" t="inlineStr">
        <is>
          <t>50% POD-accessible online</t>
        </is>
      </c>
      <c r="F15" s="7" t="inlineStr">
        <is>
          <t>=</t>
        </is>
      </c>
      <c r="G15" s="25" t="inlineStr">
        <is>
          <t>~$1.35B–$2.5B</t>
        </is>
      </c>
    </row>
    <row r="16" ht="18" customHeight="1">
      <c r="A16" s="26" t="inlineStr">
        <is>
          <t>SAM</t>
        </is>
      </c>
      <c r="B16" s="10" t="inlineStr">
        <is>
          <t>POD-addressable TAM</t>
        </is>
      </c>
      <c r="C16" s="27" t="inlineStr">
        <is>
          <t>$2.5B</t>
        </is>
      </c>
      <c r="D16" s="11" t="inlineStr">
        <is>
          <t>×</t>
        </is>
      </c>
      <c r="E16" s="12" t="inlineStr">
        <is>
          <t>15% Printify market share</t>
        </is>
      </c>
      <c r="F16" s="11" t="inlineStr">
        <is>
          <t>=</t>
        </is>
      </c>
      <c r="G16" s="27" t="inlineStr">
        <is>
          <t>~$375M GMV/yr</t>
        </is>
      </c>
    </row>
    <row r="17" ht="18" customHeight="1">
      <c r="A17" s="26" t="inlineStr">
        <is>
          <t>SAM</t>
        </is>
      </c>
      <c r="B17" s="10" t="inlineStr">
        <is>
          <t>Printify GMV</t>
        </is>
      </c>
      <c r="C17" s="27" t="inlineStr">
        <is>
          <t>$375M</t>
        </is>
      </c>
      <c r="D17" s="11" t="inlineStr">
        <is>
          <t>×</t>
        </is>
      </c>
      <c r="E17" s="12" t="inlineStr">
        <is>
          <t>8% blended platform margin</t>
        </is>
      </c>
      <c r="F17" s="11" t="inlineStr">
        <is>
          <t>=</t>
        </is>
      </c>
      <c r="G17" s="27" t="inlineStr">
        <is>
          <t>~$30M/yr margin</t>
        </is>
      </c>
    </row>
    <row r="18" ht="18" customHeight="1">
      <c r="A18" s="15" t="inlineStr">
        <is>
          <t>SOM Y1</t>
        </is>
      </c>
      <c r="B18" s="14" t="inlineStr">
        <is>
          <t>150 SKUs (pilot)</t>
        </is>
      </c>
      <c r="C18" s="28" t="inlineStr">
        <is>
          <t>150</t>
        </is>
      </c>
      <c r="D18" s="29" t="inlineStr">
        <is>
          <t>×</t>
        </is>
      </c>
      <c r="E18" s="16" t="inlineStr">
        <is>
          <t>20 orders/SKU/mo × $8 × 12</t>
        </is>
      </c>
      <c r="F18" s="29" t="inlineStr">
        <is>
          <t>=</t>
        </is>
      </c>
      <c r="G18" s="28" t="inlineStr">
        <is>
          <t>$288K/yr</t>
        </is>
      </c>
    </row>
    <row r="19" ht="18" customHeight="1">
      <c r="A19" s="19" t="inlineStr">
        <is>
          <t>SOM Y2</t>
        </is>
      </c>
      <c r="B19" s="18" t="inlineStr">
        <is>
          <t>1,500 SKUs (×10 scale)</t>
        </is>
      </c>
      <c r="C19" s="30" t="inlineStr">
        <is>
          <t>1,500</t>
        </is>
      </c>
      <c r="D19" s="31" t="inlineStr">
        <is>
          <t>×</t>
        </is>
      </c>
      <c r="E19" s="20" t="inlineStr">
        <is>
          <t>20 orders/SKU/mo × $8 × 12</t>
        </is>
      </c>
      <c r="F19" s="31" t="inlineStr">
        <is>
          <t>=</t>
        </is>
      </c>
      <c r="G19" s="30" t="inlineStr">
        <is>
          <t>$2.88M/yr</t>
        </is>
      </c>
    </row>
    <row r="20" ht="18" customHeight="1">
      <c r="A20" s="23" t="inlineStr">
        <is>
          <t>SOM LT</t>
        </is>
      </c>
      <c r="B20" s="10" t="inlineStr">
        <is>
          <t>$2.5B TAM</t>
        </is>
      </c>
      <c r="C20" s="32" t="inlineStr">
        <is>
          <t>$2.5B</t>
        </is>
      </c>
      <c r="D20" s="11" t="inlineStr">
        <is>
          <t>×</t>
        </is>
      </c>
      <c r="E20" s="12" t="inlineStr">
        <is>
          <t>5% capture × 8% margin</t>
        </is>
      </c>
      <c r="F20" s="11" t="inlineStr">
        <is>
          <t>=</t>
        </is>
      </c>
      <c r="G20" s="32" t="inlineStr">
        <is>
          <t>~$10M/yr</t>
        </is>
      </c>
    </row>
    <row r="21" ht="5" customHeight="1"/>
    <row r="22" ht="16" customHeight="1">
      <c r="A22" s="3" t="inlineStr">
        <is>
          <t>3. Why Now — The First-Mover Case</t>
        </is>
      </c>
    </row>
    <row r="23" ht="28" customHeight="1">
      <c r="A23" s="4" t="inlineStr">
        <is>
          <t>Signal</t>
        </is>
      </c>
      <c r="B23" s="4" t="inlineStr">
        <is>
          <t>Data point</t>
        </is>
      </c>
      <c r="C23" s="4" t="inlineStr">
        <is>
          <t>What it means for Printify</t>
        </is>
      </c>
    </row>
    <row r="24" ht="28" customHeight="1">
      <c r="A24" s="5" t="inlineStr">
        <is>
          <t>Zero structured-taxonomy player</t>
        </is>
      </c>
      <c r="B24" s="8" t="inlineStr">
        <is>
          <t>No POD platform has leather taxonomy + FTC compliance today</t>
        </is>
      </c>
      <c r="C24" s="6" t="inlineStr">
        <is>
          <t>12–18 month first-mover window. First to build = first to lock in Decorator catalogs</t>
        </is>
      </c>
    </row>
    <row r="25" ht="28" customHeight="1">
      <c r="A25" s="33" t="inlineStr">
        <is>
          <t>Etsy leather demand accelerating</t>
        </is>
      </c>
      <c r="B25" s="20" t="inlineStr">
        <is>
          <t>"leather" #215 top keyword · +57% search growth Nov–Dec · 125%+ CTR (eRank 2025)</t>
        </is>
      </c>
      <c r="C25" s="18" t="inlineStr">
        <is>
          <t>Demand is rising NOW. Waiting 12 months means competitors see the same signal and react</t>
        </is>
      </c>
    </row>
    <row r="26" ht="28" customHeight="1">
      <c r="A26" s="5" t="inlineStr">
        <is>
          <t>Amazon demand confirmed</t>
        </is>
      </c>
      <c r="B26" s="8" t="inlineStr">
        <is>
          <t>BULLIANT wallet: 8,365 units/mo BSR — top POD leather SKU (accio.com)</t>
        </is>
      </c>
      <c r="C26" s="6" t="inlineStr">
        <is>
          <t>The ceiling is real. New POD SKUs enter at 5–20/mo — pilot target of 20/SKU is achievable</t>
        </is>
      </c>
    </row>
    <row r="27" ht="28" customHeight="1">
      <c r="A27" s="33" t="inlineStr">
        <is>
          <t>Shopify timing</t>
        </is>
      </c>
      <c r="B27" s="20" t="inlineStr">
        <is>
          <t>Material Attributes standard launched 2025 — structured leather channel just opened</t>
        </is>
      </c>
      <c r="C27" s="18" t="inlineStr">
        <is>
          <t>Integrate now with no SP-API dependency (MVP 2). Wait = competitors integrate first</t>
        </is>
      </c>
    </row>
    <row r="28" ht="28" customHeight="1">
      <c r="A28" s="5" t="inlineStr">
        <is>
          <t>PrintKK dependency cost</t>
        </is>
      </c>
      <c r="B28" s="8" t="inlineStr">
        <is>
          <t>Decorators using PrintKK: 50-unit MOQ, no FTC compliance, no portal</t>
        </is>
      </c>
      <c r="C28" s="6" t="inlineStr">
        <is>
          <t>Every month of inaction: Decorators build their leather catalog on a competitor</t>
        </is>
      </c>
    </row>
    <row r="29" ht="28" customHeight="1">
      <c r="A29" s="33" t="inlineStr">
        <is>
          <t>Kill gate protection</t>
        </is>
      </c>
      <c r="B29" s="20" t="inlineStr">
        <is>
          <t>Max loss at Month 2 gate: $220K (not $340K). PoC = $0</t>
        </is>
      </c>
      <c r="C29" s="18" t="inlineStr">
        <is>
          <t>This is a controlled bet — not a blind $340K commitment. Data decides, not projections</t>
        </is>
      </c>
    </row>
    <row r="31" ht="24" customHeight="1">
      <c r="A31" s="34" t="inlineStr">
        <is>
          <t>Sources: Nova One Advisor 2025 · accio.com · eRank 2025 · Shopify Material Attributes documentation · Internal Printify Decorator base estimate. SOM figures assume base case (20 orders/SKU/mo); optimistic (50/SKU) would 2.5× all SOM numbers.</t>
        </is>
      </c>
    </row>
    <row r="33" customHeight="1">
      <c r="A33" t="inlineStr">
        <is>
          <t>Level</t>
        </is>
      </c>
      <c r="B33" t="inlineStr">
        <is>
          <t>Platform Margin $M/yr</t>
        </is>
      </c>
    </row>
    <row r="34" customHeight="1">
      <c r="A34" t="inlineStr">
        <is>
          <t>SAM (reachable)</t>
        </is>
      </c>
      <c r="B34" t="n">
        <v>30</v>
      </c>
    </row>
    <row r="35" customHeight="1">
      <c r="A35" t="inlineStr">
        <is>
          <t>SOM Year 5 (Leadership · 50% SAM)</t>
        </is>
      </c>
      <c r="B35" t="n">
        <v>18.7</v>
      </c>
    </row>
    <row r="36" customHeight="1">
      <c r="A36" t="inlineStr">
        <is>
          <t>SOM Year 2 (50 Decorators)</t>
        </is>
      </c>
      <c r="B36" t="n">
        <v>2.9</v>
      </c>
    </row>
    <row r="37" customHeight="1">
      <c r="A37" t="inlineStr">
        <is>
          <t>SOM Year 1 (20 Decorators)</t>
        </is>
      </c>
      <c r="B37" t="n">
        <v>1.2</v>
      </c>
    </row>
  </sheetData>
  <mergeCells count="6">
    <mergeCell ref="A1:G1"/>
    <mergeCell ref="A31:G31"/>
    <mergeCell ref="A22:G22"/>
    <mergeCell ref="A12:G12"/>
    <mergeCell ref="A4:G4"/>
    <mergeCell ref="A2:G2"/>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I38"/>
  <sheetViews>
    <sheetView showGridLines="0" workbookViewId="0">
      <pane ySplit="4" topLeftCell="A5" activePane="bottomLeft" state="frozen"/>
      <selection pane="bottomLeft" activeCell="A1" sqref="A1"/>
    </sheetView>
  </sheetViews>
  <sheetFormatPr baseColWidth="8" defaultRowHeight="15"/>
  <cols>
    <col width="18" customWidth="1" min="1" max="1"/>
    <col width="11" customWidth="1" min="2" max="2"/>
    <col width="28" customWidth="1" min="3" max="3"/>
    <col width="22" customWidth="1" min="4" max="4"/>
    <col width="26" customWidth="1" min="5" max="5"/>
    <col width="11" customWidth="1" min="6" max="6"/>
    <col width="28" customWidth="1" min="7" max="7"/>
    <col width="11" customWidth="1" min="8" max="8"/>
    <col width="10" customWidth="1" min="9" max="9"/>
  </cols>
  <sheetData>
    <row r="1" ht="16" customHeight="1">
      <c r="A1" s="3" t="inlineStr">
        <is>
          <t>🎯  OKRs &amp; KPIs — Premium Leather Goods · Printify Supply Pillar</t>
        </is>
      </c>
    </row>
    <row r="2" ht="72" customHeight="1">
      <c r="A2" s="35" t="inlineStr">
        <is>
          <t>STRATEGIC INTENT — Establish Printify as the go-to POD ecosystem for genuine leather goods, unlocking merchant AOVs of $35–$80 (vs. $18–$25 apparel) and building a defensive moat through structured taxonomy + automated FTC compliance. No competitor has this today — 12–18 month first-mover window.
HOW TO READ THIS TABLE — Each Key Result (KR) describes a specific metric being moved. FROM shows the current baseline state (what exists today). TO shows the concrete target. WHY explains the rationale for choosing that specific number. EVIDENCE shows the data source or benchmark this target is anchored to. Targets are not aspirational — they are the minimum threshold for ROI justification on the $340K investment.</t>
        </is>
      </c>
      <c r="B2" s="36" t="n"/>
      <c r="C2" s="36" t="n"/>
      <c r="D2" s="36" t="n"/>
      <c r="E2" s="36" t="n"/>
      <c r="F2" s="36" t="n"/>
      <c r="G2" s="36" t="n"/>
      <c r="H2" s="36" t="n"/>
      <c r="I2" s="37" t="n"/>
    </row>
    <row r="3" ht="5" customHeight="1"/>
    <row r="4" ht="16" customHeight="1">
      <c r="A4" s="3" t="inlineStr">
        <is>
          <t>1 · OKR Framework — 3 Objectives · 7 Key Results  ·  Each KR shows: FROM (baseline) → TO (target) · WHY · EVIDENCE</t>
        </is>
      </c>
    </row>
    <row r="5" ht="28" customHeight="1">
      <c r="A5" s="4" t="inlineStr">
        <is>
          <t>Objective</t>
        </is>
      </c>
      <c r="B5" s="4" t="inlineStr">
        <is>
          <t>#</t>
        </is>
      </c>
      <c r="C5" s="4" t="inlineStr">
        <is>
          <t>Metric moved</t>
        </is>
      </c>
      <c r="D5" s="4" t="inlineStr">
        <is>
          <t>FROM — current state</t>
        </is>
      </c>
      <c r="E5" s="4" t="inlineStr">
        <is>
          <t>TO — target</t>
        </is>
      </c>
      <c r="F5" s="4" t="inlineStr">
        <is>
          <t>Why this target</t>
        </is>
      </c>
      <c r="G5" s="4" t="inlineStr">
        <is>
          <t>Evidence / basis</t>
        </is>
      </c>
      <c r="H5" s="4" t="inlineStr">
        <is>
          <t>Phase</t>
        </is>
      </c>
      <c r="I5" s="4" t="inlineStr">
        <is>
          <t>Status</t>
        </is>
      </c>
    </row>
    <row r="6" ht="56" customHeight="1">
      <c r="A6" s="38" t="inlineStr">
        <is>
          <t>1 · Low-Friction Onboarding</t>
        </is>
      </c>
      <c r="B6" s="39" t="inlineStr">
        <is>
          <t>KR 1.1</t>
        </is>
      </c>
      <c r="C6" s="40" t="inlineStr">
        <is>
          <t>Decorator onboarding time (portal → first approved blueprint)</t>
        </is>
      </c>
      <c r="D6" s="41" t="inlineStr">
        <is>
          <t>No leather portal today. Generic multi-field form without AI assist = 3–5 days (email back-and-forth)</t>
        </is>
      </c>
      <c r="E6" s="15" t="inlineStr">
        <is>
          <t>&lt; 24 hours</t>
        </is>
      </c>
      <c r="F6" s="40" t="inlineStr">
        <is>
          <t>Each day of delay = supply bottleneck. Long onboarding → Decorator abandonment → 150-SKU pilot fails before launch</t>
        </is>
      </c>
      <c r="G6" s="42" t="inlineStr">
        <is>
          <t>Printify apparel onboarding benchmark: complex forms without AI assist average 3–5 days. AI field-assist pre-fills 8 schema fields → estimated 70% reduction. Target 24h is achievable with assisted flow.</t>
        </is>
      </c>
      <c r="H6" s="43" t="inlineStr">
        <is>
          <t>MVP 2</t>
        </is>
      </c>
      <c r="I6" s="43" t="inlineStr">
        <is>
          <t>⚪ Not started</t>
        </is>
      </c>
    </row>
    <row r="7" ht="56" customHeight="1">
      <c r="A7" s="38" t="inlineStr">
        <is>
          <t>1 · Low-Friction Onboarding</t>
        </is>
      </c>
      <c r="B7" s="39" t="inlineStr">
        <is>
          <t>KR 1.2</t>
        </is>
      </c>
      <c r="C7" s="40" t="inlineStr">
        <is>
          <t>Portal submission form error rate (rejected / total submitted)</t>
        </is>
      </c>
      <c r="D7" s="41" t="inlineStr">
        <is>
          <t>Estimated 20–35% error rate on unassisted complex multi-field material forms (industry benchmark)</t>
        </is>
      </c>
      <c r="E7" s="15" t="inlineStr">
        <is>
          <t>&lt; 10%</t>
        </is>
      </c>
      <c r="F7" s="40" t="inlineStr">
        <is>
          <t>&gt;20% error rate → manual Ops queue required. Each manual review costs ~$40 ops vs. $8 margin/order — unit economics collapse at any volume above pilot</t>
        </is>
      </c>
      <c r="G7" s="42" t="inlineStr">
        <is>
          <t>Industry benchmark: unassisted 5+ field enum forms average 20–35% error rate. Field-Assist Agent (AI pre-fill) reduces error rate to &lt;10% in comparable deployments (Printify internal UX data).</t>
        </is>
      </c>
      <c r="H7" s="43" t="inlineStr">
        <is>
          <t>MVP 2 Gate</t>
        </is>
      </c>
      <c r="I7" s="43" t="inlineStr">
        <is>
          <t>⚪ Not started</t>
        </is>
      </c>
    </row>
    <row r="8" ht="56" customHeight="1">
      <c r="A8" s="44" t="inlineStr">
        <is>
          <t>2 · Legal &amp; Compliance</t>
        </is>
      </c>
      <c r="B8" s="45" t="inlineStr">
        <is>
          <t>KR 2.1</t>
        </is>
      </c>
      <c r="C8" s="18" t="inlineStr">
        <is>
          <t>MAT-001 FTC classifier auto-approval rate (genuine leather submissions)</t>
        </is>
      </c>
      <c r="D8" s="46" t="inlineStr">
        <is>
          <t>0% auto-approval. No classifier today — 100% of leather submissions require manual compliance review</t>
        </is>
      </c>
      <c r="E8" s="15" t="inlineStr">
        <is>
          <t>≥ 88%</t>
        </is>
      </c>
      <c r="F8" s="18" t="inlineStr">
        <is>
          <t>&lt;88% auto-approval = manual ops scale linearly with volume. At 3,000 orders/mo, manual review destroys the $8 margin/order. 88% sets a floor where ops queue remains manageable</t>
        </is>
      </c>
      <c r="G8" s="47" t="inlineStr">
        <is>
          <t>LLM classifiers on structured-label material tasks achieve 85–92% accuracy (Printify compliance team estimate). 88% is the break-even point where automated review covers &gt;10 Decorator catalog scale without additional ops headcount.</t>
        </is>
      </c>
      <c r="H8" s="31" t="inlineStr">
        <is>
          <t>MVP 1</t>
        </is>
      </c>
      <c r="I8" s="31" t="inlineStr">
        <is>
          <t>⚪ Not started</t>
        </is>
      </c>
    </row>
    <row r="9" ht="56" customHeight="1">
      <c r="A9" s="44" t="inlineStr">
        <is>
          <t>2 · Legal &amp; Compliance</t>
        </is>
      </c>
      <c r="B9" s="45" t="inlineStr">
        <is>
          <t>KR 2.2</t>
        </is>
      </c>
      <c r="C9" s="18" t="inlineStr">
        <is>
          <t>FTC MAT-001 false-positive rate (legitimate Decorators wrongly rejected)</t>
        </is>
      </c>
      <c r="D9" s="46" t="inlineStr">
        <is>
          <t>N/A today — no classifier. PU/bonded leather is listed as "genuine" with zero enforcement</t>
        </is>
      </c>
      <c r="E9" s="15" t="inlineStr">
        <is>
          <t>&lt; 2%</t>
        </is>
      </c>
      <c r="F9" s="18" t="inlineStr">
        <is>
          <t>FP &gt; 2% = legitimate Decorators wrongly blocked → churned account + platform trust damage. Every false block is a supply loss and a reputational risk.</t>
        </is>
      </c>
      <c r="G9" s="47" t="inlineStr">
        <is>
          <t>Internal Printify UX benchmark: &lt;2% false rejection rate is the acceptable threshold for gated submission flows. Above 2%, user trust collapses and appeal volume overwhelms Ops (Printify apparel classifier precedent).</t>
        </is>
      </c>
      <c r="H9" s="31" t="inlineStr">
        <is>
          <t>MVP 1 Gate</t>
        </is>
      </c>
      <c r="I9" s="31" t="inlineStr">
        <is>
          <t>⚪ Not started</t>
        </is>
      </c>
    </row>
    <row r="10" ht="56" customHeight="1">
      <c r="A10" s="38" t="inlineStr">
        <is>
          <t>3 · Commercial ROI &amp; Velocity</t>
        </is>
      </c>
      <c r="B10" s="39" t="inlineStr">
        <is>
          <t>KR 3.1</t>
        </is>
      </c>
      <c r="C10" s="40" t="inlineStr">
        <is>
          <t>Active catalog SKUs live before marketplace launch (Etsy + Amazon + Shopify)</t>
        </is>
      </c>
      <c r="D10" s="41" t="inlineStr">
        <is>
          <t>0 genuine leather SKUs on Printify today (confirmed: internal catalog audit — 45 products, 100% synthetic PU)</t>
        </is>
      </c>
      <c r="E10" s="15" t="inlineStr">
        <is>
          <t>150 SKUs (5×30)</t>
        </is>
      </c>
      <c r="F10" s="40" t="inlineStr">
        <is>
          <t>Etsy and Amazon algorithms require minimum catalog depth to surface a new supplier organically. Below 100 active listings = category-invisible. Shopify pilot (W12) starts earlier with fewer SKUs and provides immediate signal.</t>
        </is>
      </c>
      <c r="G10" s="42" t="inlineStr">
        <is>
          <t>eRank: minimum ~100 active listings required for category algorithm indexing signal. ShelfTrend: top-quartile leather stores average 120–200 active SKUs. Shopify Material Attributes (2025): no indexing delay — W12 signal valid from day 1.</t>
        </is>
      </c>
      <c r="H10" s="43" t="inlineStr">
        <is>
          <t>MVP 2 Gate</t>
        </is>
      </c>
      <c r="I10" s="43" t="inlineStr">
        <is>
          <t>⚪ Not started</t>
        </is>
      </c>
    </row>
    <row r="11" ht="56" customHeight="1">
      <c r="A11" s="38" t="inlineStr">
        <is>
          <t>3 · Commercial ROI &amp; Velocity</t>
        </is>
      </c>
      <c r="B11" s="39" t="inlineStr">
        <is>
          <t>KR 3.2</t>
        </is>
      </c>
      <c r="C11" s="40" t="inlineStr">
        <is>
          <t>Sales velocity post-launch: orders / SKU / month (organic, all channels)</t>
        </is>
      </c>
      <c r="D11" s="41" t="inlineStr">
        <is>
          <t>0 orders/SKU/mo on Printify leather (no genuine leather exists today)</t>
        </is>
      </c>
      <c r="E11" s="15" t="inlineStr">
        <is>
          <t>≥ 20 / SKU / mo</t>
        </is>
      </c>
      <c r="F11" s="40" t="inlineStr">
        <is>
          <t>20/SKU is the base-case planning floor for positive ROI on $340K investment (payback ~16 months). Kill gate triggers at &lt;15 at Month 2 — 20 gives a 33% safety margin above the kill threshold.</t>
        </is>
      </c>
      <c r="G11" s="42" t="inlineStr">
        <is>
          <t>Proxy: accio.com — BULLIANT leather wallet (Amazon) = 8,365 units/mo. Etsy top-quartile leather sellers: 15–25 orders/SKU/mo (ShelfTrend 2025). 20/SKU is achievable entry point within documented range. Shopify adds a 3rd channel reducing single-platform dependency.</t>
        </is>
      </c>
      <c r="H11" s="43" t="inlineStr">
        <is>
          <t>MVP 3 / Month 1</t>
        </is>
      </c>
      <c r="I11" s="43" t="inlineStr">
        <is>
          <t>⚪ Not started</t>
        </is>
      </c>
    </row>
    <row r="12" ht="56" customHeight="1">
      <c r="A12" s="38" t="inlineStr">
        <is>
          <t>3 · Commercial ROI &amp; Velocity</t>
        </is>
      </c>
      <c r="B12" s="39" t="inlineStr">
        <is>
          <t>KR 3.3</t>
        </is>
      </c>
      <c r="C12" s="40" t="inlineStr">
        <is>
          <t>Monthly Printify platform margin (leather category, post-pilot scale)</t>
        </is>
      </c>
      <c r="D12" s="41" t="inlineStr">
        <is>
          <t>$0/month leather platform margin (no genuine leather GMV on Printify today)</t>
        </is>
      </c>
      <c r="E12" s="15" t="inlineStr">
        <is>
          <t>$150K / month</t>
        </is>
      </c>
      <c r="F12" s="40" t="inlineStr">
        <is>
          <t>$340K investment requires ~$150K/mo run-rate to achieve the ~16-month payback (base case). Below $60K/mo at Month 3 = ROI thesis fails and investment is not recovered on schedule.</t>
        </is>
      </c>
      <c r="G12" s="42" t="inlineStr">
        <is>
          <t>10 Dec × 150 SKUs × 20 orders × $8 margin = $150K/mo target. Etsy category GMV proxy: $130K–$270K/week leather category (ShelfTrend 2025) supports 20/SKU base case. Shopify (MVP 2) adds incremental demand channel improving base-case achievability.</t>
        </is>
      </c>
      <c r="H12" s="43" t="inlineStr">
        <is>
          <t>Month 3</t>
        </is>
      </c>
      <c r="I12" s="43" t="inlineStr">
        <is>
          <t>⚪ Not started</t>
        </is>
      </c>
    </row>
    <row r="14" ht="5" customHeight="1"/>
    <row r="15" ht="16" customHeight="1">
      <c r="A15" s="3" t="inlineStr">
        <is>
          <t>2 · KPI Dashboard — Baseline → Pilot Target → Scale Target</t>
        </is>
      </c>
    </row>
    <row r="16" ht="28" customHeight="1">
      <c r="A16" s="4" t="inlineStr">
        <is>
          <t>KPI</t>
        </is>
      </c>
      <c r="B16" s="4" t="inlineStr">
        <is>
          <t>Baseline (FROM)</t>
        </is>
      </c>
      <c r="C16" s="4" t="inlineStr">
        <is>
          <t>Pilot target
(5 Dec · 150 SKUs)</t>
        </is>
      </c>
      <c r="D16" s="4" t="inlineStr">
        <is>
          <t>Scale target
(10+ Dec · 1,500 SKUs)</t>
        </is>
      </c>
      <c r="E16" s="4" t="inlineStr">
        <is>
          <t>Kill / Pause threshold</t>
        </is>
      </c>
      <c r="F16" s="4" t="inlineStr">
        <is>
          <t>Measurement method</t>
        </is>
      </c>
      <c r="G16" s="4" t="inlineStr">
        <is>
          <t>Why this threshold</t>
        </is>
      </c>
    </row>
    <row r="17" ht="40" customHeight="1">
      <c r="A17" s="9" t="inlineStr">
        <is>
          <t>Orders / SKU / month</t>
        </is>
      </c>
      <c r="B17" s="48" t="inlineStr">
        <is>
          <t>0 (no genuine leather today)</t>
        </is>
      </c>
      <c r="C17" s="15" t="inlineStr">
        <is>
          <t>≥ 20 (base) · ≥ 50 (opt)</t>
        </is>
      </c>
      <c r="D17" s="49" t="inlineStr">
        <is>
          <t>≥ 20 sustained</t>
        </is>
      </c>
      <c r="E17" s="50" t="inlineStr">
        <is>
          <t>&lt; 15 at Month 2 → KILL</t>
        </is>
      </c>
      <c r="F17" s="51" t="inlineStr">
        <is>
          <t>Platform order data · leather material_tier tag</t>
        </is>
      </c>
      <c r="G17" s="10" t="inlineStr">
        <is>
          <t>Etsy top-quartile leather: 15–25/SKU/mo. 20 = base-case ROI floor. &lt;15 = investment doesn't recover.</t>
        </is>
      </c>
    </row>
    <row r="18" ht="40" customHeight="1">
      <c r="A18" s="33" t="inlineStr">
        <is>
          <t>FTC MAT-001 auto-approve %</t>
        </is>
      </c>
      <c r="B18" s="46" t="inlineStr">
        <is>
          <t>0% (100% manual review today)</t>
        </is>
      </c>
      <c r="C18" s="15" t="inlineStr">
        <is>
          <t>≥ 88%</t>
        </is>
      </c>
      <c r="D18" s="21" t="inlineStr">
        <is>
          <t>≥ 88%</t>
        </is>
      </c>
      <c r="E18" s="52" t="inlineStr">
        <is>
          <t>FP rate &gt; 2% → PAUSE MVP 1</t>
        </is>
      </c>
      <c r="F18" s="47" t="inlineStr">
        <is>
          <t>Ingestion logs · MAT-001 classifier output</t>
        </is>
      </c>
      <c r="G18" s="18" t="inlineStr">
        <is>
          <t>At &lt;88%, ops cost exceeds $8 margin/order at scale. 88% = break-even ops headcount.</t>
        </is>
      </c>
    </row>
    <row r="19" ht="40" customHeight="1">
      <c r="A19" s="9" t="inlineStr">
        <is>
          <t>Decorator form error rate</t>
        </is>
      </c>
      <c r="B19" s="48" t="inlineStr">
        <is>
          <t>~20–35% (industry benchmark, no AI assist)</t>
        </is>
      </c>
      <c r="C19" s="15" t="inlineStr">
        <is>
          <t>&lt; 10%</t>
        </is>
      </c>
      <c r="D19" s="49" t="inlineStr">
        <is>
          <t>&lt; 10%</t>
        </is>
      </c>
      <c r="E19" s="10" t="inlineStr">
        <is>
          <t>&gt; 20% → redesign portal + AI flow</t>
        </is>
      </c>
      <c r="F19" s="51" t="inlineStr">
        <is>
          <t>Portal submission logs (rejected / total)</t>
        </is>
      </c>
      <c r="G19" s="10" t="inlineStr">
        <is>
          <t>&gt;20% → manual Ops queue → each review costs ~$40 vs. $8 margin. Unit economics collapse.</t>
        </is>
      </c>
    </row>
    <row r="20" ht="40" customHeight="1">
      <c r="A20" s="33" t="inlineStr">
        <is>
          <t>Decorator onboarding time</t>
        </is>
      </c>
      <c r="B20" s="46" t="inlineStr">
        <is>
          <t>No leather portal · est. 3–5 days via email</t>
        </is>
      </c>
      <c r="C20" s="15" t="inlineStr">
        <is>
          <t>&lt; 24 hours</t>
        </is>
      </c>
      <c r="D20" s="21" t="inlineStr">
        <is>
          <t>&lt; 24 hours</t>
        </is>
      </c>
      <c r="E20" s="18" t="inlineStr">
        <is>
          <t>&gt; 48h avg → UX rework</t>
        </is>
      </c>
      <c r="F20" s="47" t="inlineStr">
        <is>
          <t>Portal timestamp (form start → first approved blueprint)</t>
        </is>
      </c>
      <c r="G20" s="18" t="inlineStr">
        <is>
          <t>Long onboarding → abandonment → supply bottleneck. 24h achievable with AI field-assist pre-fill.</t>
        </is>
      </c>
    </row>
    <row r="21" ht="40" customHeight="1">
      <c r="A21" s="9" t="inlineStr">
        <is>
          <t>Monthly platform margin</t>
        </is>
      </c>
      <c r="B21" s="48" t="inlineStr">
        <is>
          <t>$0 (no leather GMV today)</t>
        </is>
      </c>
      <c r="C21" s="15" t="inlineStr">
        <is>
          <t>$24K (pilot: 150 SKUs base case)</t>
        </is>
      </c>
      <c r="D21" s="49" t="inlineStr">
        <is>
          <t>$150K (base) / $375K (opt)</t>
        </is>
      </c>
      <c r="E21" s="10" t="inlineStr">
        <is>
          <t>&lt; $10K at Month 3 → re-evaluate ROI</t>
        </is>
      </c>
      <c r="F21" s="51" t="inlineStr">
        <is>
          <t>GMV dashboard · leather category tag</t>
        </is>
      </c>
      <c r="G21" s="10" t="inlineStr">
        <is>
          <t>$150K/mo = $340K investment payback in ~16 months. Below $60K/mo = ROI thesis fails.</t>
        </is>
      </c>
    </row>
    <row r="22" ht="40" customHeight="1">
      <c r="A22" s="33" t="inlineStr">
        <is>
          <t>Active catalog SKUs</t>
        </is>
      </c>
      <c r="B22" s="46" t="inlineStr">
        <is>
          <t>0 genuine leather SKUs (catalog audit confirmed)</t>
        </is>
      </c>
      <c r="C22" s="15" t="inlineStr">
        <is>
          <t>150 SKUs before marketplace launch</t>
        </is>
      </c>
      <c r="D22" s="21" t="inlineStr">
        <is>
          <t>1,500 SKUs at scale</t>
        </is>
      </c>
      <c r="E22" s="18" t="inlineStr">
        <is>
          <t>&lt; 100 at MVP 2 Gate → delay launch</t>
        </is>
      </c>
      <c r="F22" s="47" t="inlineStr">
        <is>
          <t>Blueprint DB · material_tier ≠ null</t>
        </is>
      </c>
      <c r="G22" s="18" t="inlineStr">
        <is>
          <t>Etsy/Amazon need ~100+ listings for organic indexing signal. Shopify signal available from W12 regardless.</t>
        </is>
      </c>
    </row>
    <row r="23" ht="40" customHeight="1">
      <c r="A23" s="9" t="inlineStr">
        <is>
          <t>Merchant listing rate</t>
        </is>
      </c>
      <c r="B23" s="48" t="inlineStr">
        <is>
          <t>N/A (no leather portal or supply path today)</t>
        </is>
      </c>
      <c r="C23" s="15" t="inlineStr">
        <is>
          <t>≥ 60% of enrolled Decorators</t>
        </is>
      </c>
      <c r="D23" s="49" t="inlineStr">
        <is>
          <t>≥ 70%</t>
        </is>
      </c>
      <c r="E23" s="10" t="inlineStr">
        <is>
          <t>&lt; 40% → supply conversion problem</t>
        </is>
      </c>
      <c r="F23" s="51" t="inlineStr">
        <is>
          <t>Enrolled Decorators → active listings ratio</t>
        </is>
      </c>
      <c r="G23" s="10" t="inlineStr">
        <is>
          <t>&lt;40% suggests friction in portal UX or SKU quality review. Triggers redesign before scaling.</t>
        </is>
      </c>
    </row>
    <row r="24" ht="40" customHeight="1">
      <c r="A24" s="33" t="inlineStr">
        <is>
          <t>Platform margin / order</t>
        </is>
      </c>
      <c r="B24" s="46" t="inlineStr">
        <is>
          <t>$5/order (apparel average on Printify)</t>
        </is>
      </c>
      <c r="C24" s="15" t="inlineStr">
        <is>
          <t>$8 target</t>
        </is>
      </c>
      <c r="D24" s="21" t="inlineStr">
        <is>
          <t>$8</t>
        </is>
      </c>
      <c r="E24" s="18" t="inlineStr">
        <is>
          <t>Below $6 → renegotiate supplier pricing</t>
        </is>
      </c>
      <c r="F24" s="47" t="inlineStr">
        <is>
          <t>Order margin report · leather category filter</t>
        </is>
      </c>
      <c r="G24" s="18" t="inlineStr">
        <is>
          <t>$8 reflects premium AOV ($40–$80) vs apparel ($18–$25). Supplier SLA locks $8 at PoC Gate 0.</t>
        </is>
      </c>
    </row>
    <row r="26" ht="5" customHeight="1"/>
    <row r="27" ht="16" customHeight="1">
      <c r="A27" s="3" t="inlineStr">
        <is>
          <t>3 · Decision Gates (Go / Kill / Pause)</t>
        </is>
      </c>
    </row>
    <row r="28" ht="28" customHeight="1">
      <c r="A28" s="4" t="inlineStr">
        <is>
          <t>Gate</t>
        </is>
      </c>
      <c r="B28" s="4" t="inlineStr">
        <is>
          <t>Timing</t>
        </is>
      </c>
      <c r="C28" s="4" t="inlineStr">
        <is>
          <t>Success threshold</t>
        </is>
      </c>
      <c r="D28" s="4" t="inlineStr">
        <is>
          <t>GO — Action if met</t>
        </is>
      </c>
      <c r="E28" s="4" t="inlineStr">
        <is>
          <t>KILL/PAUSE — Action if unmet</t>
        </is>
      </c>
      <c r="F28" s="4" t="inlineStr">
        <is>
          <t>$ at risk</t>
        </is>
      </c>
      <c r="G28" s="4" t="inlineStr">
        <is>
          <t>Rationale</t>
        </is>
      </c>
    </row>
    <row r="29" ht="30" customHeight="1">
      <c r="A29" s="9" t="inlineStr">
        <is>
          <t>Gate 0 · PoC</t>
        </is>
      </c>
      <c r="B29" s="10" t="inlineStr">
        <is>
          <t>W0</t>
        </is>
      </c>
      <c r="C29" s="10" t="inlineStr">
        <is>
          <t>≥ 5 Signed Decorator LOIs + Supplier SLA confirmed</t>
        </is>
      </c>
      <c r="D29" s="53" t="inlineStr">
        <is>
          <t>Approve ~$20K Design Sprint</t>
        </is>
      </c>
      <c r="E29" s="54" t="inlineStr">
        <is>
          <t>CANCEL — $0 engineering spent</t>
        </is>
      </c>
      <c r="F29" s="10" t="inlineStr">
        <is>
          <t>$0</t>
        </is>
      </c>
      <c r="G29" s="10" t="inlineStr">
        <is>
          <t>Demand signal before any code. PoC costs nothing — wrong to skip it.</t>
        </is>
      </c>
    </row>
    <row r="30" ht="30" customHeight="1">
      <c r="A30" s="33" t="inlineStr">
        <is>
          <t>Gate 1 · MVP 2</t>
        </is>
      </c>
      <c r="B30" s="18" t="inlineStr">
        <is>
          <t>W16</t>
        </is>
      </c>
      <c r="C30" s="18" t="inlineStr">
        <is>
          <t>150 valid leather SKUs created · portal error rate &lt; 10%</t>
        </is>
      </c>
      <c r="D30" s="55" t="inlineStr">
        <is>
          <t>Proceed to Marketplace build</t>
        </is>
      </c>
      <c r="E30" s="52" t="inlineStr">
        <is>
          <t>PAUSE — redesign portal UI + AI field-assist flow</t>
        </is>
      </c>
      <c r="F30" s="18" t="inlineStr">
        <is>
          <t>~$220K</t>
        </is>
      </c>
      <c r="G30" s="18" t="inlineStr">
        <is>
          <t>Supply readiness before marketplace spend. No point launching 0 SKUs to Etsy/Amazon.</t>
        </is>
      </c>
    </row>
    <row r="31" ht="30" customHeight="1">
      <c r="A31" s="56" t="inlineStr">
        <is>
          <t>Gate 2 · M2</t>
        </is>
      </c>
      <c r="B31" s="57" t="inlineStr">
        <is>
          <t>Month 2 post-M0</t>
        </is>
      </c>
      <c r="C31" s="57" t="inlineStr">
        <is>
          <t>≥ 20 orders / SKU / month (organic, all channels)</t>
        </is>
      </c>
      <c r="D31" s="58" t="inlineStr">
        <is>
          <t>FULL SCALE to 1,500+ SKUs</t>
        </is>
      </c>
      <c r="E31" s="50" t="inlineStr">
        <is>
          <t>KILL (&lt; 15) — halt &amp; reallocate team</t>
        </is>
      </c>
      <c r="F31" s="57" t="inlineStr">
        <is>
          <t>~$340K</t>
        </is>
      </c>
      <c r="G31" s="57" t="inlineStr">
        <is>
          <t>Shopify: immediate signal from W12. Etsy/Amazon: 30-day indexing delay → M2 is first clean read. M1 = launch noise.</t>
        </is>
      </c>
    </row>
    <row r="33" ht="24" customHeight="1">
      <c r="A33" s="34" t="inlineStr">
        <is>
          <t>⚠ Shopify (MVP 2, W12 pilot): immediate indexing — no algorithm delay. Etsy and Amazon: ~30 days to surface new SKUs organically. Month 1 contains launch noise on marketplace channels — Month 2 is the first clean, comparable signal across all 3 channels.</t>
        </is>
      </c>
    </row>
    <row r="35" customHeight="1">
      <c r="A35" t="inlineStr">
        <is>
          <t>Scenario</t>
        </is>
      </c>
      <c r="B35" t="inlineStr">
        <is>
          <t>Monthly Margin $K</t>
        </is>
      </c>
      <c r="C35" t="inlineStr">
        <is>
          <t>Annual Run-Rate $K</t>
        </is>
      </c>
    </row>
    <row r="36" customHeight="1">
      <c r="A36" t="inlineStr">
        <is>
          <t>Conservative (8/SKU)</t>
        </is>
      </c>
      <c r="B36" t="n">
        <v>60</v>
      </c>
      <c r="C36" t="n">
        <v>720</v>
      </c>
    </row>
    <row r="37" customHeight="1">
      <c r="A37" t="inlineStr">
        <is>
          <t>Base Case (20/SKU)</t>
        </is>
      </c>
      <c r="B37" t="n">
        <v>150</v>
      </c>
      <c r="C37" t="n">
        <v>1800</v>
      </c>
    </row>
    <row r="38" customHeight="1">
      <c r="A38" t="inlineStr">
        <is>
          <t>Optimistic (50/SKU)</t>
        </is>
      </c>
      <c r="B38" t="n">
        <v>375</v>
      </c>
      <c r="C38" t="n">
        <v>4500</v>
      </c>
    </row>
  </sheetData>
  <mergeCells count="6">
    <mergeCell ref="A15:I15"/>
    <mergeCell ref="A2:I2"/>
    <mergeCell ref="A33:I33"/>
    <mergeCell ref="A1:I1"/>
    <mergeCell ref="A27:I27"/>
    <mergeCell ref="A4:I4"/>
  </mergeCells>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F37"/>
  <sheetViews>
    <sheetView showGridLines="0" workbookViewId="0">
      <pane ySplit="2" topLeftCell="A3" activePane="bottomLeft" state="frozen"/>
      <selection pane="bottomLeft" activeCell="A1" sqref="A1"/>
    </sheetView>
  </sheetViews>
  <sheetFormatPr baseColWidth="8" defaultRowHeight="15"/>
  <cols>
    <col width="26" customWidth="1" min="1" max="1"/>
    <col width="18" customWidth="1" min="2" max="2"/>
    <col width="50" customWidth="1" min="3" max="3"/>
    <col width="4" customWidth="1" min="4" max="4"/>
    <col width="4" customWidth="1" min="5" max="5"/>
    <col width="4" customWidth="1" min="6" max="6"/>
  </cols>
  <sheetData>
    <row r="1" ht="16" customHeight="1">
      <c r="A1" s="3" t="inlineStr">
        <is>
          <t>📊  Proxy Data · Sources · Metric Gaps — Premium Leather PRD</t>
        </is>
      </c>
    </row>
    <row r="2" ht="5" customHeight="1"/>
    <row r="3" ht="16" customHeight="1">
      <c r="A3" s="3" t="inlineStr">
        <is>
          <t>1. Market Demand Signals (USA)</t>
        </is>
      </c>
    </row>
    <row r="4" ht="28" customHeight="1">
      <c r="A4" s="4" t="inlineStr">
        <is>
          <t>Signal</t>
        </is>
      </c>
      <c r="B4" s="4" t="inlineStr">
        <is>
          <t>Platform</t>
        </is>
      </c>
      <c r="C4" s="4" t="inlineStr">
        <is>
          <t>Value / Data point</t>
        </is>
      </c>
      <c r="D4" s="4" t="inlineStr">
        <is>
          <t>Source</t>
        </is>
      </c>
      <c r="E4" s="4" t="inlineStr">
        <is>
          <t>Confidence</t>
        </is>
      </c>
      <c r="F4" s="4" t="inlineStr">
        <is>
          <t>Gap / Assumption</t>
        </is>
      </c>
    </row>
    <row r="5">
      <c r="A5" s="9" t="inlineStr">
        <is>
          <t>"custom leather wallet" keyword rank</t>
        </is>
      </c>
      <c r="B5" s="10" t="inlineStr">
        <is>
          <t>Etsy USA</t>
        </is>
      </c>
      <c r="C5" s="10" t="inlineStr">
        <is>
          <t>#215 top search term · $35–$70 AOV · 125%+ CTR</t>
        </is>
      </c>
      <c r="D5" s="59" t="inlineStr">
        <is>
          <t>ShelfTrend 2025</t>
        </is>
      </c>
      <c r="E5" s="10" t="inlineStr">
        <is>
          <t>Medium</t>
        </is>
      </c>
      <c r="F5" s="10" t="inlineStr">
        <is>
          <t>Rank fluctuates; not exclusive to POD buyers</t>
        </is>
      </c>
    </row>
    <row r="6">
      <c r="A6" s="33" t="inlineStr">
        <is>
          <t>"personalized leather bag" weekly GMV</t>
        </is>
      </c>
      <c r="B6" s="18" t="inlineStr">
        <is>
          <t>Etsy USA</t>
        </is>
      </c>
      <c r="C6" s="18" t="inlineStr">
        <is>
          <t>$130K–$270K / week</t>
        </is>
      </c>
      <c r="D6" s="60" t="inlineStr">
        <is>
          <t>ShelfTrend 2025</t>
        </is>
      </c>
      <c r="E6" s="18" t="inlineStr">
        <is>
          <t>Medium</t>
        </is>
      </c>
      <c r="F6" s="18" t="inlineStr">
        <is>
          <t>Aggregated across all sellers — POD share unknown</t>
        </is>
      </c>
    </row>
    <row r="7">
      <c r="A7" s="9" t="inlineStr">
        <is>
          <t>Top leather wallet SKU monthly units</t>
        </is>
      </c>
      <c r="B7" s="10" t="inlineStr">
        <is>
          <t>Amazon USA</t>
        </is>
      </c>
      <c r="C7" s="10" t="inlineStr">
        <is>
          <t>BULLIANT wallet — 8,365 units / month (BSR rank)</t>
        </is>
      </c>
      <c r="D7" s="59" t="inlineStr">
        <is>
          <t>accio.com 2025</t>
        </is>
      </c>
      <c r="E7" s="10" t="inlineStr">
        <is>
          <t>Medium</t>
        </is>
      </c>
      <c r="F7" s="10" t="inlineStr">
        <is>
          <t>Single mature listing proxy — new POD SKU enters at 5–20/mo</t>
        </is>
      </c>
    </row>
    <row r="8">
      <c r="A8" s="33" t="inlineStr">
        <is>
          <t>USA leather goods market size</t>
        </is>
      </c>
      <c r="B8" s="18" t="inlineStr">
        <is>
          <t>TAM</t>
        </is>
      </c>
      <c r="C8" s="18" t="inlineStr">
        <is>
          <t>$54.26B total · 6.7% CAGR · custom/POD ~$2B addressable (est.)</t>
        </is>
      </c>
      <c r="D8" s="60" t="inlineStr">
        <is>
          <t>Nova One Advisor 2025</t>
        </is>
      </c>
      <c r="E8" s="52" t="inlineStr">
        <is>
          <t>Low–Medium</t>
        </is>
      </c>
      <c r="F8" s="18" t="inlineStr">
        <is>
          <t>POD share is our estimate; no public split available</t>
        </is>
      </c>
    </row>
    <row r="9">
      <c r="A9" s="9" t="inlineStr">
        <is>
          <t>Printify current leather products</t>
        </is>
      </c>
      <c r="B9" s="10" t="inlineStr">
        <is>
          <t>Printify catalog</t>
        </is>
      </c>
      <c r="C9" s="10" t="inlineStr">
        <is>
          <t>~45 products — 100% synthetic PU / faux / vegan</t>
        </is>
      </c>
      <c r="D9" s="10" t="inlineStr">
        <is>
          <t>Internal catalog audit</t>
        </is>
      </c>
      <c r="E9" s="10" t="inlineStr">
        <is>
          <t>High</t>
        </is>
      </c>
      <c r="F9" s="10" t="inlineStr">
        <is>
          <t>$0 genuine leather today — confirmed gap</t>
        </is>
      </c>
    </row>
    <row r="10">
      <c r="A10" s="33" t="inlineStr">
        <is>
          <t>Premium leather AOV range</t>
        </is>
      </c>
      <c r="B10" s="18" t="inlineStr">
        <is>
          <t>Etsy / Amazon</t>
        </is>
      </c>
      <c r="C10" s="18" t="inlineStr">
        <is>
          <t>$35–$80 (vs. $18–$25 apparel)</t>
        </is>
      </c>
      <c r="D10" s="18" t="inlineStr">
        <is>
          <t>Category benchmarks</t>
        </is>
      </c>
      <c r="E10" s="18" t="inlineStr">
        <is>
          <t>Medium</t>
        </is>
      </c>
      <c r="F10" s="18" t="inlineStr">
        <is>
          <t>AOV proxy; actual margin depends on COGS and decorator pricing</t>
        </is>
      </c>
    </row>
    <row r="11">
      <c r="A11" s="9" t="inlineStr">
        <is>
          <t>"leather" Etsy USA keyword rank · seasonal growth</t>
        </is>
      </c>
      <c r="B11" s="10" t="inlineStr">
        <is>
          <t>Etsy USA</t>
        </is>
      </c>
      <c r="C11" s="10" t="inlineStr">
        <is>
          <t>#215 top keyword · +57% search volume growth Nov–Dec (gifting peak)</t>
        </is>
      </c>
      <c r="D11" s="59" t="inlineStr">
        <is>
          <t>eRank 2025</t>
        </is>
      </c>
      <c r="E11" s="10" t="inlineStr">
        <is>
          <t>Medium</t>
        </is>
      </c>
      <c r="F11" s="10" t="inlineStr">
        <is>
          <t>Seasonal signal; search ≠ confirmed purchase intent</t>
        </is>
      </c>
    </row>
    <row r="12">
      <c r="A12" s="33" t="inlineStr">
        <is>
          <t>PrintKK competitor — genuine leather MOQ</t>
        </is>
      </c>
      <c r="B12" s="18" t="inlineStr">
        <is>
          <t>PrintKK</t>
        </is>
      </c>
      <c r="C12" s="18" t="inlineStr">
        <is>
          <t>50-unit minimum order · no taxonomy fields · no FTC compliance</t>
        </is>
      </c>
      <c r="D12" s="60" t="inlineStr">
        <is>
          <t>Public pricing (printKK.com)</t>
        </is>
      </c>
      <c r="E12" s="18" t="inlineStr">
        <is>
          <t>High</t>
        </is>
      </c>
      <c r="F12" s="18" t="inlineStr">
        <is>
          <t>Direct-observation gap: Printify 1-unit MOQ = structural differentiator</t>
        </is>
      </c>
    </row>
    <row r="13">
      <c r="A13" s="9" t="inlineStr">
        <is>
          <t>High-GMV Decorators routing to PrintKK / direct</t>
        </is>
      </c>
      <c r="B13" s="10" t="inlineStr">
        <is>
          <t>Outreach assumption</t>
        </is>
      </c>
      <c r="C13" s="10" t="inlineStr">
        <is>
          <t>Unconfirmed — PoC LOI outreach will validate</t>
        </is>
      </c>
      <c r="D13" s="10" t="inlineStr">
        <is>
          <t>PM hypothesis</t>
        </is>
      </c>
      <c r="E13" s="54" t="inlineStr">
        <is>
          <t>Low</t>
        </is>
      </c>
      <c r="F13" s="10" t="inlineStr">
        <is>
          <t>PoC Gate 0 is the first hard data point</t>
        </is>
      </c>
    </row>
    <row r="15" ht="5" customHeight="1"/>
    <row r="16" ht="16" customHeight="1">
      <c r="A16" s="3" t="inlineStr">
        <is>
          <t>2. Pilot Math — How the Base Case Is Calculated</t>
        </is>
      </c>
    </row>
    <row r="17" ht="28" customHeight="1">
      <c r="A17" s="4" t="inlineStr">
        <is>
          <t>Variable</t>
        </is>
      </c>
      <c r="B17" s="4" t="inlineStr">
        <is>
          <t>Value</t>
        </is>
      </c>
      <c r="C17" s="4" t="inlineStr">
        <is>
          <t>Formula / Explanation</t>
        </is>
      </c>
      <c r="D17" s="4" t="inlineStr"/>
      <c r="E17" s="4" t="inlineStr"/>
      <c r="F17" s="4" t="inlineStr"/>
    </row>
    <row r="18">
      <c r="A18" s="9" t="inlineStr">
        <is>
          <t>Pilot Decorators</t>
        </is>
      </c>
      <c r="B18" s="27" t="inlineStr">
        <is>
          <t>5</t>
        </is>
      </c>
      <c r="C18" s="61" t="inlineStr">
        <is>
          <t>PoC outreach: 50 existing Printify customers → ~10% conversion → ≥ 5 LOIs</t>
        </is>
      </c>
      <c r="D18" s="36" t="n"/>
      <c r="E18" s="36" t="n"/>
      <c r="F18" s="37" t="n"/>
    </row>
    <row r="19">
      <c r="A19" s="33" t="inlineStr">
        <is>
          <t>SKUs per Decorator</t>
        </is>
      </c>
      <c r="B19" s="62" t="inlineStr">
        <is>
          <t>30</t>
        </is>
      </c>
      <c r="C19" s="63" t="inlineStr">
        <is>
          <t>Each Decorator lists 30 products (wallets, bags, journals, belts)</t>
        </is>
      </c>
      <c r="D19" s="36" t="n"/>
      <c r="E19" s="36" t="n"/>
      <c r="F19" s="37" t="n"/>
    </row>
    <row r="20">
      <c r="A20" s="9" t="inlineStr">
        <is>
          <t>Total pilot SKUs</t>
        </is>
      </c>
      <c r="B20" s="27" t="inlineStr">
        <is>
          <t>150</t>
        </is>
      </c>
      <c r="C20" s="61" t="inlineStr">
        <is>
          <t>5 × 30 = 150 · minimum for marketplace algorithm indexing</t>
        </is>
      </c>
      <c r="D20" s="36" t="n"/>
      <c r="E20" s="36" t="n"/>
      <c r="F20" s="37" t="n"/>
    </row>
    <row r="21">
      <c r="A21" s="33" t="inlineStr">
        <is>
          <t>Platform margin / order</t>
        </is>
      </c>
      <c r="B21" s="30" t="inlineStr">
        <is>
          <t>$8</t>
        </is>
      </c>
      <c r="C21" s="63" t="inlineStr">
        <is>
          <t>Premium leather AOV $45–65 supports $8 vs. standard $5 for apparel</t>
        </is>
      </c>
      <c r="D21" s="36" t="n"/>
      <c r="E21" s="36" t="n"/>
      <c r="F21" s="37" t="n"/>
    </row>
    <row r="22">
      <c r="A22" s="9" t="inlineStr">
        <is>
          <t>Orders/SKU/month (base)</t>
        </is>
      </c>
      <c r="B22" s="27" t="inlineStr">
        <is>
          <t>20</t>
        </is>
      </c>
      <c r="C22" s="61" t="inlineStr">
        <is>
          <t>Top-quartile Etsy leather sellers proxy (kill threshold = &lt; 15 at Month 2)</t>
        </is>
      </c>
      <c r="D22" s="36" t="n"/>
      <c r="E22" s="36" t="n"/>
      <c r="F22" s="37" t="n"/>
    </row>
    <row r="23">
      <c r="A23" s="33" t="inlineStr">
        <is>
          <t>Monthly orders (pilot)</t>
        </is>
      </c>
      <c r="B23" s="62" t="inlineStr">
        <is>
          <t>3,000</t>
        </is>
      </c>
      <c r="C23" s="63" t="inlineStr">
        <is>
          <t>150 SKUs × 20 orders = 3,000 orders/month</t>
        </is>
      </c>
      <c r="D23" s="36" t="n"/>
      <c r="E23" s="36" t="n"/>
      <c r="F23" s="37" t="n"/>
    </row>
    <row r="24">
      <c r="A24" s="9" t="inlineStr">
        <is>
          <t>Monthly margin (pilot)</t>
        </is>
      </c>
      <c r="B24" s="32" t="inlineStr">
        <is>
          <t>$24,000</t>
        </is>
      </c>
      <c r="C24" s="61" t="inlineStr">
        <is>
          <t>3,000 orders × $8 = $24K/month during pilot phase</t>
        </is>
      </c>
      <c r="D24" s="36" t="n"/>
      <c r="E24" s="36" t="n"/>
      <c r="F24" s="37" t="n"/>
    </row>
    <row r="25">
      <c r="A25" s="33" t="inlineStr">
        <is>
          <t>Monthly margin (full scale)</t>
        </is>
      </c>
      <c r="B25" s="30" t="inlineStr">
        <is>
          <t>$150,000</t>
        </is>
      </c>
      <c r="C25" s="63" t="inlineStr">
        <is>
          <t>10 Decorators × 150 SKUs × 20 orders × $8 = $150K/month</t>
        </is>
      </c>
      <c r="D25" s="36" t="n"/>
      <c r="E25" s="36" t="n"/>
      <c r="F25" s="37" t="n"/>
    </row>
    <row r="26">
      <c r="A26" s="9" t="inlineStr">
        <is>
          <t>Annual run-rate (base)</t>
        </is>
      </c>
      <c r="B26" s="32" t="inlineStr">
        <is>
          <t>$1,800,000</t>
        </is>
      </c>
      <c r="C26" s="61" t="inlineStr">
        <is>
          <t>$150K/month × 12 months</t>
        </is>
      </c>
      <c r="D26" s="36" t="n"/>
      <c r="E26" s="36" t="n"/>
      <c r="F26" s="37" t="n"/>
    </row>
    <row r="27">
      <c r="A27" s="33" t="inlineStr">
        <is>
          <t>Total investment</t>
        </is>
      </c>
      <c r="B27" s="30" t="inlineStr">
        <is>
          <t>$340,000</t>
        </is>
      </c>
      <c r="C27" s="63" t="inlineStr">
        <is>
          <t>PoC $0 + Design Sprint $20K + MVP 1 $80K + MVP 2 $120K + MVP 3 $120K</t>
        </is>
      </c>
      <c r="D27" s="36" t="n"/>
      <c r="E27" s="36" t="n"/>
      <c r="F27" s="37" t="n"/>
    </row>
    <row r="28">
      <c r="A28" s="9" t="inlineStr">
        <is>
          <t>Payback period (base)</t>
        </is>
      </c>
      <c r="B28" s="32" t="inlineStr">
        <is>
          <t>~15–17 months</t>
        </is>
      </c>
      <c r="C28" s="61" t="inlineStr">
        <is>
          <t>$340K investment ÷ ramping margin — reaches positive at ~Month 15–17</t>
        </is>
      </c>
      <c r="D28" s="36" t="n"/>
      <c r="E28" s="36" t="n"/>
      <c r="F28" s="37" t="n"/>
    </row>
    <row r="30" ht="24" customHeight="1">
      <c r="A30" s="34" t="inlineStr">
        <is>
          <t>⚠ All proxy data from public sources (ShelfTrend, accio.com, Nova One Advisor, 2025). PoC LOIs and supplier SLAs are the first real data points — Gate 0 validates or kills the initiative before any engineering spend.</t>
        </is>
      </c>
    </row>
    <row r="32" customHeight="1">
      <c r="A32" t="inlineStr">
        <is>
          <t>Timepoint</t>
        </is>
      </c>
      <c r="B32" t="inlineStr">
        <is>
          <t>Conservative (8/SKU)</t>
        </is>
      </c>
      <c r="C32" t="inlineStr">
        <is>
          <t>Base Case (20/SKU)</t>
        </is>
      </c>
      <c r="D32" t="inlineStr">
        <is>
          <t>Optimistic (50/SKU)</t>
        </is>
      </c>
    </row>
    <row r="33" customHeight="1">
      <c r="A33" t="inlineStr">
        <is>
          <t>W16 Shopify G1</t>
        </is>
      </c>
      <c r="B33" t="n">
        <v>3</v>
      </c>
      <c r="C33" t="n">
        <v>8</v>
      </c>
      <c r="D33" t="n">
        <v>14</v>
      </c>
    </row>
    <row r="34" customHeight="1">
      <c r="A34" t="inlineStr">
        <is>
          <t>M0 Launch</t>
        </is>
      </c>
      <c r="B34" t="n">
        <v>2</v>
      </c>
      <c r="C34" t="n">
        <v>4</v>
      </c>
      <c r="D34" t="n">
        <v>5</v>
      </c>
    </row>
    <row r="35" customHeight="1">
      <c r="A35" t="inlineStr">
        <is>
          <t>Month 1</t>
        </is>
      </c>
      <c r="B35" t="n">
        <v>6</v>
      </c>
      <c r="C35" t="n">
        <v>15</v>
      </c>
      <c r="D35" t="n">
        <v>35</v>
      </c>
    </row>
    <row r="36" customHeight="1">
      <c r="A36" t="inlineStr">
        <is>
          <t>Month 2 ◆</t>
        </is>
      </c>
      <c r="B36" t="n">
        <v>8</v>
      </c>
      <c r="C36" t="n">
        <v>22</v>
      </c>
      <c r="D36" t="n">
        <v>50</v>
      </c>
    </row>
    <row r="37" customHeight="1">
      <c r="A37" t="inlineStr">
        <is>
          <t>Month 3</t>
        </is>
      </c>
      <c r="B37" t="n">
        <v>8</v>
      </c>
      <c r="C37" t="n">
        <v>25</v>
      </c>
      <c r="D37" t="n">
        <v>60</v>
      </c>
    </row>
  </sheetData>
  <mergeCells count="15">
    <mergeCell ref="C22:F22"/>
    <mergeCell ref="A16:F16"/>
    <mergeCell ref="C18:F18"/>
    <mergeCell ref="A30:F30"/>
    <mergeCell ref="C23:F23"/>
    <mergeCell ref="A1:F1"/>
    <mergeCell ref="C20:F20"/>
    <mergeCell ref="C26:F26"/>
    <mergeCell ref="C27:F27"/>
    <mergeCell ref="C21:F21"/>
    <mergeCell ref="C25:F25"/>
    <mergeCell ref="A3:F3"/>
    <mergeCell ref="C19:F19"/>
    <mergeCell ref="C24:F24"/>
    <mergeCell ref="C28:F28"/>
  </mergeCells>
  <hyperlinks>
    <hyperlink xmlns:r="http://schemas.openxmlformats.org/officeDocument/2006/relationships" ref="D5" r:id="rId1"/>
    <hyperlink xmlns:r="http://schemas.openxmlformats.org/officeDocument/2006/relationships" ref="D6" r:id="rId2"/>
    <hyperlink xmlns:r="http://schemas.openxmlformats.org/officeDocument/2006/relationships" ref="D7" r:id="rId3"/>
    <hyperlink xmlns:r="http://schemas.openxmlformats.org/officeDocument/2006/relationships" ref="D8" r:id="rId4"/>
    <hyperlink xmlns:r="http://schemas.openxmlformats.org/officeDocument/2006/relationships" ref="D11" r:id="rId5"/>
    <hyperlink xmlns:r="http://schemas.openxmlformats.org/officeDocument/2006/relationships" ref="D12" r:id="rId6"/>
  </hyperlinks>
  <pageMargins left="0.75" right="0.75" top="1" bottom="1" header="0.5" footer="0.5"/>
  <drawing xmlns:r="http://schemas.openxmlformats.org/officeDocument/2006/relationships" r:id="rId7"/>
</worksheet>
</file>

<file path=xl/worksheets/sheet4.xml><?xml version="1.0" encoding="utf-8"?>
<worksheet xmlns="http://schemas.openxmlformats.org/spreadsheetml/2006/main">
  <sheetPr>
    <outlinePr summaryBelow="1" summaryRight="1"/>
    <pageSetUpPr/>
  </sheetPr>
  <dimension ref="A1:G81"/>
  <sheetViews>
    <sheetView showGridLines="0" workbookViewId="0">
      <pane ySplit="2" topLeftCell="A3" activePane="bottomLeft" state="frozen"/>
      <selection pane="bottomLeft" activeCell="A1" sqref="A1"/>
    </sheetView>
  </sheetViews>
  <sheetFormatPr baseColWidth="8" defaultRowHeight="15"/>
  <cols>
    <col width="22" customWidth="1" min="1" max="1"/>
    <col width="18" customWidth="1" min="2" max="2"/>
    <col width="20" customWidth="1" min="3" max="3"/>
    <col width="18" customWidth="1" min="4" max="4"/>
    <col width="40" customWidth="1" min="5" max="5"/>
    <col width="12" customWidth="1" min="6" max="6"/>
    <col width="20" customWidth="1" min="7" max="7"/>
  </cols>
  <sheetData>
    <row r="1" ht="16" customHeight="1">
      <c r="A1" s="3" t="inlineStr">
        <is>
          <t>💰  Business Case — Premium Leather Goods · Complete View</t>
        </is>
      </c>
    </row>
    <row r="2" ht="80" customHeight="1">
      <c r="A2" s="35" t="inlineStr">
        <is>
          <t>WHAT THIS DOCUMENT IS — A complete, standalone business case for the Premium Leather Goods initiative. It covers the full market opportunity (TAM → SAM → SOM), the first-mover rationale, investment phasing, revenue scenarios under 3 demand assumptions, decision gates with explicit kill criteria, and a final ROI summary.
HOW TO USE IT — Section 1 sizes the market and defines the revenue ceiling. Section 2 explains why acting now (not in 12 months) is the right call. Section 3 shows where the $340K goes and what each phase must deliver to proceed. Section 4 maps the 3 financial scenarios (Conservative / Base / Optimistic) to the $8/order margin model. Section 5 defines the 3 decision gates — each with a GO and a KILL path and the $ at risk if we wait. Section 6 provides the ROI at a glance across all horizons (pilot → Year 2 → Year 5 leadership).</t>
        </is>
      </c>
      <c r="B2" s="36" t="n"/>
      <c r="C2" s="36" t="n"/>
      <c r="D2" s="36" t="n"/>
      <c r="E2" s="36" t="n"/>
      <c r="F2" s="36" t="n"/>
      <c r="G2" s="37" t="n"/>
    </row>
    <row r="3" ht="16" customHeight="1">
      <c r="A3" s="3" t="inlineStr">
        <is>
          <t>0. Core Hypothesis</t>
        </is>
      </c>
    </row>
    <row r="4" ht="52" customHeight="1">
      <c r="A4" s="64" t="inlineStr">
        <is>
          <t>Decorators serving the USA personalized gifting market ($40–$80 AOV) cannot list genuine leather products on Printify today, forcing them to route premium transactions to PrintKK — despite its 50-unit MOQ. If we fix the taxonomy (MAT-001) and add laser engraving with 1-unit MOQ, they will consolidate their leather spend on Printify, validated at ≥$150K GMV/month within 90 days of launch.</t>
        </is>
      </c>
      <c r="B4" s="36" t="n"/>
      <c r="C4" s="36" t="n"/>
      <c r="D4" s="36" t="n"/>
      <c r="E4" s="36" t="n"/>
      <c r="F4" s="36" t="n"/>
      <c r="G4" s="37" t="n"/>
    </row>
    <row r="5" ht="5" customHeight="1"/>
    <row r="6" ht="16" customHeight="1">
      <c r="A6" s="3" t="inlineStr">
        <is>
          <t>1. Market Opportunity — TAM · SAM · SOM (US Personalized Leather)</t>
        </is>
      </c>
    </row>
    <row r="7" ht="28" customHeight="1">
      <c r="A7" s="4" t="inlineStr">
        <is>
          <t>Level</t>
        </is>
      </c>
      <c r="B7" s="4" t="inlineStr">
        <is>
          <t>Horizon</t>
        </is>
      </c>
      <c r="C7" s="4" t="inlineStr">
        <is>
          <t>GMV / yr</t>
        </is>
      </c>
      <c r="D7" s="4" t="inlineStr">
        <is>
          <t>Platform margin / yr</t>
        </is>
      </c>
      <c r="E7" s="4" t="inlineStr">
        <is>
          <t>Basis</t>
        </is>
      </c>
      <c r="F7" s="4" t="inlineStr">
        <is>
          <t>Status</t>
        </is>
      </c>
    </row>
    <row r="8" ht="30" customHeight="1">
      <c r="A8" s="5" t="inlineStr">
        <is>
          <t>TAM</t>
        </is>
      </c>
      <c r="B8" s="6" t="inlineStr">
        <is>
          <t>Total US personalized leather (POD-addressable)</t>
        </is>
      </c>
      <c r="C8" s="7" t="inlineStr">
        <is>
          <t>$2.5B / yr</t>
        </is>
      </c>
      <c r="D8" s="7" t="inlineStr">
        <is>
          <t>—</t>
        </is>
      </c>
      <c r="E8" s="8" t="inlineStr">
        <is>
          <t>$54.26B US leather goods × 5% personalized share × 50% POD-accessible online (Nova One Advisor 2025)</t>
        </is>
      </c>
      <c r="F8" s="7" t="inlineStr">
        <is>
          <t>Market exists</t>
        </is>
      </c>
    </row>
    <row r="9" ht="30" customHeight="1">
      <c r="A9" s="9" t="inlineStr">
        <is>
          <t>SAM</t>
        </is>
      </c>
      <c r="B9" s="10" t="inlineStr">
        <is>
          <t>Printify-reachable POD Decorators in US</t>
        </is>
      </c>
      <c r="C9" s="11" t="inlineStr">
        <is>
          <t>~$375M / yr</t>
        </is>
      </c>
      <c r="D9" s="11" t="inlineStr">
        <is>
          <t>~$30M / yr</t>
        </is>
      </c>
      <c r="E9" s="12" t="inlineStr">
        <is>
          <t>TAM × 15% Printify platform share · $8 margin on $40–$80 AOV = ~8% blended margin</t>
        </is>
      </c>
      <c r="F9" s="11" t="inlineStr">
        <is>
          <t>Reachable</t>
        </is>
      </c>
    </row>
    <row r="10" ht="30" customHeight="1">
      <c r="A10" s="13" t="inlineStr">
        <is>
          <t>SOM — Year 1</t>
        </is>
      </c>
      <c r="B10" s="14" t="inlineStr">
        <is>
          <t>Post kill-gate · 20 Decorators · 600 SKUs</t>
        </is>
      </c>
      <c r="C10" s="15" t="inlineStr">
        <is>
          <t>$576K GMV</t>
        </is>
      </c>
      <c r="D10" s="15" t="inlineStr">
        <is>
          <t>~$1.2M / yr</t>
        </is>
      </c>
      <c r="E10" s="16" t="inlineStr">
        <is>
          <t>600 SKUs × 20 orders/mo × $8 × 12. Pilot (5 Dec) passes G2 → scale to 20 Dec by Month 12</t>
        </is>
      </c>
      <c r="F10" s="15" t="inlineStr">
        <is>
          <t>▶ GO</t>
        </is>
      </c>
    </row>
    <row r="11" ht="30" customHeight="1">
      <c r="A11" s="65" t="inlineStr">
        <is>
          <t>SOM — Year 2</t>
        </is>
      </c>
      <c r="B11" s="18" t="inlineStr">
        <is>
          <t>50 Decorators · 1,500 SKUs · base case</t>
        </is>
      </c>
      <c r="C11" s="19" t="inlineStr">
        <is>
          <t>$1.44M GMV</t>
        </is>
      </c>
      <c r="D11" s="19" t="inlineStr">
        <is>
          <t>$2.9M / yr</t>
        </is>
      </c>
      <c r="E11" s="20" t="inlineStr">
        <is>
          <t>1,500 SKUs × 20 orders/mo × $8 × 12. Requires G2 passed and catalog expansion approved</t>
        </is>
      </c>
      <c r="F11" s="19" t="inlineStr">
        <is>
          <t>If GO</t>
        </is>
      </c>
    </row>
    <row r="12" ht="30" customHeight="1">
      <c r="A12" s="66" t="inlineStr">
        <is>
          <t>SOM — Year 5</t>
        </is>
      </c>
      <c r="B12" s="10" t="inlineStr">
        <is>
          <t>Market leadership · 50% SAM capture · namespace:leather lock-in</t>
        </is>
      </c>
      <c r="C12" s="23" t="inlineStr">
        <is>
          <t>~$187M GMV</t>
        </is>
      </c>
      <c r="D12" s="23" t="inlineStr">
        <is>
          <t>$18.7M / yr</t>
        </is>
      </c>
      <c r="E12" s="12" t="inlineStr">
        <is>
          <t>$375M SAM × 50% Printify capture × 10% blended margin. Default global POD for FTC-compliant leather</t>
        </is>
      </c>
      <c r="F12" s="11" t="inlineStr">
        <is>
          <t>Leadership</t>
        </is>
      </c>
    </row>
    <row r="13" ht="24" customHeight="1">
      <c r="A13" s="34" t="inlineStr">
        <is>
          <t>@ $8/order Printify platform margin · AOV $40–$80 · Kill gate at Month 2: &lt;15 orders/SKU → max loss $220K (not $340K). SOM Year 1 assumes base case (20/SKU); optimistic (50/SKU) = 2.5× SOM numbers.</t>
        </is>
      </c>
    </row>
    <row r="14" ht="5" customHeight="1"/>
    <row r="15" ht="16" customHeight="1">
      <c r="A15" s="3" t="inlineStr">
        <is>
          <t>2. Why Now — The First-Mover Case (12–18 month window)</t>
        </is>
      </c>
    </row>
    <row r="16" ht="28" customHeight="1">
      <c r="A16" s="4" t="inlineStr">
        <is>
          <t>Signal</t>
        </is>
      </c>
      <c r="B16" s="4" t="inlineStr">
        <is>
          <t>Evidence</t>
        </is>
      </c>
      <c r="C16" s="4" t="inlineStr">
        <is>
          <t>What it means for Printify</t>
        </is>
      </c>
    </row>
    <row r="17" ht="28" customHeight="1">
      <c r="A17" s="67" t="inlineStr">
        <is>
          <t>Zero structured-taxonomy player</t>
        </is>
      </c>
      <c r="B17" s="68" t="inlineStr">
        <is>
          <t>No POD platform has leather taxonomy + FTC compliance today</t>
        </is>
      </c>
      <c r="C17" s="40" t="inlineStr">
        <is>
          <t>12–18 month first-mover window. First to build = first to lock in Decorator catalogs</t>
        </is>
      </c>
    </row>
    <row r="18" ht="28" customHeight="1">
      <c r="A18" s="33" t="inlineStr">
        <is>
          <t>Etsy leather demand accelerating</t>
        </is>
      </c>
      <c r="B18" s="20" t="inlineStr">
        <is>
          <t>"leather" #215 top keyword · +57% search growth Nov–Dec · 125%+ CTR (eRank 2025)</t>
        </is>
      </c>
      <c r="C18" s="18" t="inlineStr">
        <is>
          <t>Demand is rising NOW. Waiting 12 months = competitors see the same signal and react</t>
        </is>
      </c>
    </row>
    <row r="19" ht="28" customHeight="1">
      <c r="A19" s="67" t="inlineStr">
        <is>
          <t>Amazon demand confirmed</t>
        </is>
      </c>
      <c r="B19" s="68" t="inlineStr">
        <is>
          <t>BULLIANT wallet: 8,365 units/mo BSR — top POD leather SKU (accio.com 2025)</t>
        </is>
      </c>
      <c r="C19" s="40" t="inlineStr">
        <is>
          <t>The ceiling is real. New POD SKUs enter at 5–20/mo — pilot target 20/SKU is achievable</t>
        </is>
      </c>
    </row>
    <row r="20" ht="28" customHeight="1">
      <c r="A20" s="33" t="inlineStr">
        <is>
          <t>Shopify timing</t>
        </is>
      </c>
      <c r="B20" s="20" t="inlineStr">
        <is>
          <t>Material Attributes standard launched 2025 — structured leather channel just opened</t>
        </is>
      </c>
      <c r="C20" s="18" t="inlineStr">
        <is>
          <t>Integrate in MVP 2 with no SP-API approval needed. Wait = competitors integrate first</t>
        </is>
      </c>
    </row>
    <row r="21" ht="28" customHeight="1">
      <c r="A21" s="67" t="inlineStr">
        <is>
          <t>PrintKK dependency cost</t>
        </is>
      </c>
      <c r="B21" s="68" t="inlineStr">
        <is>
          <t>Decorators using PrintKK: 50-unit MOQ, no FTC compliance, no portal</t>
        </is>
      </c>
      <c r="C21" s="40" t="inlineStr">
        <is>
          <t>Every month of inaction: Decorators build their leather catalog on a competitor</t>
        </is>
      </c>
    </row>
    <row r="22" ht="28" customHeight="1">
      <c r="A22" s="33" t="inlineStr">
        <is>
          <t>Kill gate protection</t>
        </is>
      </c>
      <c r="B22" s="20" t="inlineStr">
        <is>
          <t>Max loss at Month 2 gate: $220K (not $340K). PoC costs $0</t>
        </is>
      </c>
      <c r="C22" s="18" t="inlineStr">
        <is>
          <t>Controlled bet — data decides at Month 2, not projections</t>
        </is>
      </c>
    </row>
    <row r="23" ht="5" customHeight="1"/>
    <row r="24" ht="16" customHeight="1">
      <c r="A24" s="3" t="inlineStr">
        <is>
          <t>3. Investment Phasing (~$340K Total) — 5 initiatives across 24 weeks</t>
        </is>
      </c>
    </row>
    <row r="25" ht="180" customHeight="1">
      <c r="A25" s="69" t="inlineStr">
        <is>
          <t>THE 5 INITIATIVES WE PROPOSE:
① PoC (W0 · $0) — Before writing a single line of code, the PM validates the supply side: outreach to 50 existing Printify Decorators, obtain ≥5 signed LOIs, confirm supplier SLA (1-unit MOQ, laser engraving). If no LOIs → cancel. Cost: zero.
② Design Sprint (W1–2 · $20K) — UX designs the Decorator portal and the MAT-001 scoring state UI. Plain-language field labels replace technical jargon. New DS components (quality tier indicator, ECO badge, compliance banner) are built once and reused across all surfaces.
③ MVP 1 — Schema &amp; Classifier (W3–8 · $80K) — Engineers add 7 new blueprint API fields (material_tier, tannage_method, origin_country, finish_type, thickness_mm, prop_65_compliant, laser_engraving_area). The MAT-001 LLM classifier auto-rejects PU/bonded leather mislabeled as "genuine". Kill gate: ≥88% auto-approval, &lt;2% false positives.
④ MVP 2 — Mockup Engine + Shopify Pilot (W9–16 · $120K) — Static leather texture mockup engine (3 textures/tier). AI field-assist agent pre-fills schema fields from supplier data. 5 pilot Decorators onboard and create 150 approved SKUs. Shopify metafield integration ★ goes live at W12 — immediate demand signal before Etsy/Amazon launch.
⑤ MVP 3 — Marketplace Launch (W17–24 · $120K) — 150 SKUs go live across Etsy, Amazon (SP-API, Prop 65), and WooCommerce. Month 1 demand read. Kill decision at Month 2: &lt;15 orders/SKU → halt &amp; reallocate; ≥20 → full scale to 1,500+ SKUs.</t>
        </is>
      </c>
      <c r="B25" s="36" t="n"/>
      <c r="C25" s="36" t="n"/>
      <c r="D25" s="36" t="n"/>
      <c r="E25" s="36" t="n"/>
      <c r="F25" s="36" t="n"/>
      <c r="G25" s="37" t="n"/>
    </row>
    <row r="26" ht="28" customHeight="1">
      <c r="A26" s="4" t="inlineStr">
        <is>
          <t>Phase</t>
        </is>
      </c>
      <c r="B26" s="4" t="inlineStr">
        <is>
          <t>Weeks</t>
        </is>
      </c>
      <c r="C26" s="4" t="inlineStr">
        <is>
          <t>Cost</t>
        </is>
      </c>
      <c r="D26" s="4" t="inlineStr">
        <is>
          <t>Cumulative</t>
        </is>
      </c>
      <c r="E26" s="4" t="inlineStr">
        <is>
          <t>Key deliverables</t>
        </is>
      </c>
      <c r="F26" s="4" t="inlineStr">
        <is>
          <t>Exit criteria / Gate</t>
        </is>
      </c>
      <c r="G26" s="4" t="inlineStr">
        <is>
          <t>Kill if not met</t>
        </is>
      </c>
    </row>
    <row r="27" ht="44" customHeight="1">
      <c r="A27" s="9" t="inlineStr">
        <is>
          <t>PoC</t>
        </is>
      </c>
      <c r="B27" s="10" t="inlineStr">
        <is>
          <t>W0</t>
        </is>
      </c>
      <c r="C27" s="10" t="inlineStr">
        <is>
          <t>$0</t>
        </is>
      </c>
      <c r="D27" s="10" t="inlineStr">
        <is>
          <t>$0</t>
        </is>
      </c>
      <c r="E27" s="10" t="inlineStr">
        <is>
          <t>PM outreach to 50 existing Printify customers · Supplier SLA validation (Photograve / Fulfill Engine)</t>
        </is>
      </c>
      <c r="F27" s="10" t="inlineStr">
        <is>
          <t>≥ 5 signed Decorator LOIs + supplier confirmed</t>
        </is>
      </c>
      <c r="G27" s="54" t="inlineStr">
        <is>
          <t>CANCEL — $0 spent, no engineering</t>
        </is>
      </c>
    </row>
    <row r="28" ht="44" customHeight="1">
      <c r="A28" s="33" t="inlineStr">
        <is>
          <t>Design Sprint</t>
        </is>
      </c>
      <c r="B28" s="18" t="inlineStr">
        <is>
          <t>W1–W2</t>
        </is>
      </c>
      <c r="C28" s="18" t="inlineStr">
        <is>
          <t>~$20K</t>
        </is>
      </c>
      <c r="D28" s="18" t="inlineStr">
        <is>
          <t>~$20K</t>
        </is>
      </c>
      <c r="E28" s="18" t="inlineStr">
        <is>
          <t>Figma handoffs · plain-language field labels · MAT-001 scoring state UX · new DS components (quality tier indicator, ECO badge, compliance banner)</t>
        </is>
      </c>
      <c r="F28" s="18" t="inlineStr">
        <is>
          <t>Figma approved by FE Director + UX Lead</t>
        </is>
      </c>
      <c r="G28" s="52" t="inlineStr">
        <is>
          <t>PAUSE — redesign before MVP 1 start</t>
        </is>
      </c>
    </row>
    <row r="29" ht="44" customHeight="1">
      <c r="A29" s="9" t="inlineStr">
        <is>
          <t>MVP 1 — Schema</t>
        </is>
      </c>
      <c r="B29" s="10" t="inlineStr">
        <is>
          <t>W3–W8</t>
        </is>
      </c>
      <c r="C29" s="10" t="inlineStr">
        <is>
          <t>~$80K</t>
        </is>
      </c>
      <c r="D29" s="10" t="inlineStr">
        <is>
          <t>~$100K</t>
        </is>
      </c>
      <c r="E29" s="10" t="inlineStr">
        <is>
          <t>8 blueprint schema fields · MAT-001 FTC AI classifier · laser_engraving + debossing enum API updates · audit log</t>
        </is>
      </c>
      <c r="F29" s="10" t="inlineStr">
        <is>
          <t>≥ 88% MAT-001 auto-approve · FP rate &lt; 2% · audit log live</t>
        </is>
      </c>
      <c r="G29" s="10" t="inlineStr">
        <is>
          <t>Fix blocker before MVP 2</t>
        </is>
      </c>
    </row>
    <row r="30" ht="44" customHeight="1">
      <c r="A30" s="56" t="inlineStr">
        <is>
          <t>MVP 2 — Mockup</t>
        </is>
      </c>
      <c r="B30" s="57" t="inlineStr">
        <is>
          <t>W9–W16</t>
        </is>
      </c>
      <c r="C30" s="57" t="inlineStr">
        <is>
          <t>~$120K</t>
        </is>
      </c>
      <c r="D30" s="57" t="inlineStr">
        <is>
          <t>~$220K</t>
        </is>
      </c>
      <c r="E30" s="57" t="inlineStr">
        <is>
          <t>Static leather texture mockup engine (3 textures/tier, assets locked W9 D1) · Decorator portal UI · AI field-assist agent · scoring UI · 5 Decorators onboarded · Shopify pilot ★</t>
        </is>
      </c>
      <c r="F30" s="57" t="inlineStr">
        <is>
          <t>5 Decorators with 150 valid approved blueprints · error rate &lt; 10% · Shopify W16 signal</t>
        </is>
      </c>
      <c r="G30" s="50" t="inlineStr">
        <is>
          <t>PAUSE — redesign portal UI &amp; AI flow · ⚠ 8-week critical path</t>
        </is>
      </c>
    </row>
    <row r="31" ht="44" customHeight="1">
      <c r="A31" s="33" t="inlineStr">
        <is>
          <t>MVP 3 — Channels</t>
        </is>
      </c>
      <c r="B31" s="18" t="inlineStr">
        <is>
          <t>W17–W24</t>
        </is>
      </c>
      <c r="C31" s="18" t="inlineStr">
        <is>
          <t>~$120K</t>
        </is>
      </c>
      <c r="D31" s="18" t="inlineStr">
        <is>
          <t>~$340K</t>
        </is>
      </c>
      <c r="E31" s="18" t="inlineStr">
        <is>
          <t>Shopify full (W17–18) · Etsy material attr (W17–18) · Amazon SP-API LeatherType + Prop 65 (W19–22) · WooCommerce (W23–24) · 150 SKUs live · Pilot M1 read</t>
        </is>
      </c>
      <c r="F31" s="18" t="inlineStr">
        <is>
          <t>≥ 20 orders/SKU Month 1 · Kill if &lt; 15 at Month 2</t>
        </is>
      </c>
      <c r="G31" s="52" t="inlineStr">
        <is>
          <t>KILL (&lt; 15/SKU at M2) — halt &amp; reallocate team</t>
        </is>
      </c>
    </row>
    <row r="33" ht="5" customHeight="1"/>
    <row r="34" ht="16" customHeight="1">
      <c r="A34" s="3" t="inlineStr">
        <is>
          <t>4. Revenue Scenarios (Pilot: 5 Dec × 30 SKUs = 150 SKUs · $8 margin/order)</t>
        </is>
      </c>
    </row>
    <row r="35" ht="28" customHeight="1">
      <c r="A35" s="4" t="inlineStr">
        <is>
          <t>Scenario</t>
        </is>
      </c>
      <c r="B35" s="4" t="inlineStr">
        <is>
          <t>Orders/SKU/mo</t>
        </is>
      </c>
      <c r="C35" s="4" t="inlineStr">
        <is>
          <t>Monthly margin</t>
        </is>
      </c>
      <c r="D35" s="4" t="inlineStr">
        <is>
          <t>Annual run-rate</t>
        </is>
      </c>
      <c r="E35" s="4" t="inlineStr">
        <is>
          <t>Payback period</t>
        </is>
      </c>
      <c r="F35" s="4" t="inlineStr">
        <is>
          <t>Strategic decision</t>
        </is>
      </c>
      <c r="G35" s="4" t="inlineStr">
        <is>
          <t>Basis</t>
        </is>
      </c>
    </row>
    <row r="36">
      <c r="A36" s="70" t="inlineStr">
        <is>
          <t>Conservative</t>
        </is>
      </c>
      <c r="B36" s="71" t="n">
        <v>8</v>
      </c>
      <c r="C36" s="72" t="n">
        <v>60000</v>
      </c>
      <c r="D36" s="72" t="n">
        <v>720000</v>
      </c>
      <c r="E36" s="71" t="inlineStr">
        <is>
          <t>&gt; 36 months</t>
        </is>
      </c>
      <c r="F36" s="70" t="inlineStr">
        <is>
          <t>KILL at Month 2 Gate (&lt; 15 orders)</t>
        </is>
      </c>
      <c r="G36" s="73" t="inlineStr">
        <is>
          <t>POD industry average — Printify data</t>
        </is>
      </c>
    </row>
    <row r="37">
      <c r="A37" s="33" t="inlineStr">
        <is>
          <t>Base Case</t>
        </is>
      </c>
      <c r="B37" s="74" t="n">
        <v>20</v>
      </c>
      <c r="C37" s="75" t="n">
        <v>150000</v>
      </c>
      <c r="D37" s="75" t="n">
        <v>1800000</v>
      </c>
      <c r="E37" s="74" t="inlineStr">
        <is>
          <t>~15–17 months</t>
        </is>
      </c>
      <c r="F37" s="33" t="inlineStr">
        <is>
          <t>GO — Planning Target</t>
        </is>
      </c>
      <c r="G37" s="47" t="inlineStr">
        <is>
          <t>Top-quartile Etsy leather sellers proxy</t>
        </is>
      </c>
    </row>
    <row r="38">
      <c r="A38" s="66" t="inlineStr">
        <is>
          <t>Optimistic</t>
        </is>
      </c>
      <c r="B38" s="49" t="n">
        <v>50</v>
      </c>
      <c r="C38" s="76" t="n">
        <v>375000</v>
      </c>
      <c r="D38" s="76" t="n">
        <v>4500000</v>
      </c>
      <c r="E38" s="49" t="inlineStr">
        <is>
          <t>~9–10 months</t>
        </is>
      </c>
      <c r="F38" s="66" t="inlineStr">
        <is>
          <t>SCALE to 1,500+ SKUs</t>
        </is>
      </c>
      <c r="G38" s="51" t="inlineStr">
        <is>
          <t>Top 5% Etsy / Amazon POD performers proxy</t>
        </is>
      </c>
    </row>
    <row r="40" ht="24" customHeight="1">
      <c r="A40" s="34" t="inlineStr">
        <is>
          <t>★ Shopify channel (MVP 2 pilot, immediate indexing — no algorithm delay) provides incremental demand on top of marketplace benchmarks. Base case of 20 orders/SKU/mo now distributes across Etsy + Amazon + Shopify, reducing single-channel dependency risk and making the kill gate threshold (&lt; 15/SKU) safer to pass.</t>
        </is>
      </c>
    </row>
    <row r="42" customHeight="1">
      <c r="A42" t="inlineStr">
        <is>
          <t>Scenario</t>
        </is>
      </c>
      <c r="B42" t="inlineStr">
        <is>
          <t>Monthly $K</t>
        </is>
      </c>
      <c r="C42" t="inlineStr">
        <is>
          <t>Annual ÷12 $K</t>
        </is>
      </c>
    </row>
    <row r="43" customHeight="1">
      <c r="A43" t="inlineStr">
        <is>
          <t>Conservative</t>
        </is>
      </c>
      <c r="B43" t="n">
        <v>60</v>
      </c>
      <c r="C43" t="n">
        <v>60</v>
      </c>
    </row>
    <row r="44" customHeight="1">
      <c r="A44" t="inlineStr">
        <is>
          <t>Base Case</t>
        </is>
      </c>
      <c r="B44" t="n">
        <v>150</v>
      </c>
      <c r="C44" t="n">
        <v>150</v>
      </c>
    </row>
    <row r="45" customHeight="1">
      <c r="A45" t="inlineStr">
        <is>
          <t>Optimistic</t>
        </is>
      </c>
      <c r="B45" t="n">
        <v>375</v>
      </c>
      <c r="C45" t="n">
        <v>375</v>
      </c>
    </row>
    <row r="64" ht="16" customHeight="1">
      <c r="A64" s="3" t="inlineStr">
        <is>
          <t>5. Decision Gates &amp; Kill Criteria</t>
        </is>
      </c>
    </row>
    <row r="65" ht="28" customHeight="1">
      <c r="A65" s="4" t="inlineStr">
        <is>
          <t>Gate</t>
        </is>
      </c>
      <c r="B65" s="4" t="inlineStr">
        <is>
          <t>Timing</t>
        </is>
      </c>
      <c r="C65" s="4" t="inlineStr">
        <is>
          <t>Success threshold</t>
        </is>
      </c>
      <c r="D65" s="4" t="inlineStr">
        <is>
          <t>GO action</t>
        </is>
      </c>
      <c r="E65" s="4" t="inlineStr">
        <is>
          <t>KILL / PIVOT action</t>
        </is>
      </c>
      <c r="F65" s="4" t="inlineStr">
        <is>
          <t>$ at stake</t>
        </is>
      </c>
      <c r="G65" s="4" t="inlineStr">
        <is>
          <t>Rationale</t>
        </is>
      </c>
    </row>
    <row r="66" ht="30" customHeight="1">
      <c r="A66" s="9" t="inlineStr">
        <is>
          <t>Gate 0 · PoC</t>
        </is>
      </c>
      <c r="B66" s="77" t="inlineStr">
        <is>
          <t>W0</t>
        </is>
      </c>
      <c r="C66" s="77" t="inlineStr">
        <is>
          <t>≥ 5 Signed LOIs + Supplier SLA ready</t>
        </is>
      </c>
      <c r="D66" s="78" t="inlineStr">
        <is>
          <t>Approve ~$20K for Design Sprint</t>
        </is>
      </c>
      <c r="E66" s="79" t="inlineStr">
        <is>
          <t>CANCEL — $0 engineering spent</t>
        </is>
      </c>
      <c r="F66" s="77" t="inlineStr">
        <is>
          <t>$0</t>
        </is>
      </c>
      <c r="G66" s="77" t="inlineStr">
        <is>
          <t>Demand signal before any code written</t>
        </is>
      </c>
    </row>
    <row r="67" ht="30" customHeight="1">
      <c r="A67" s="33" t="inlineStr">
        <is>
          <t>Gate 1 · MVP 2</t>
        </is>
      </c>
      <c r="B67" s="80" t="inlineStr">
        <is>
          <t>W16</t>
        </is>
      </c>
      <c r="C67" s="80" t="inlineStr">
        <is>
          <t>150 valid SKUs; portal error &lt; 10%</t>
        </is>
      </c>
      <c r="D67" s="81" t="inlineStr">
        <is>
          <t>Proceed to Marketplace Integrations</t>
        </is>
      </c>
      <c r="E67" s="82" t="inlineStr">
        <is>
          <t>PAUSE — redesign portal UI &amp; AI flow</t>
        </is>
      </c>
      <c r="F67" s="80" t="inlineStr">
        <is>
          <t>~$220K</t>
        </is>
      </c>
      <c r="G67" s="80" t="inlineStr">
        <is>
          <t>Supply readiness before marketplace spend</t>
        </is>
      </c>
    </row>
    <row r="68" ht="30" customHeight="1">
      <c r="A68" s="56" t="inlineStr">
        <is>
          <t>Gate 2 · M2</t>
        </is>
      </c>
      <c r="B68" s="83" t="inlineStr">
        <is>
          <t>Month 2</t>
        </is>
      </c>
      <c r="C68" s="83" t="inlineStr">
        <is>
          <t>≥ 20 orders / SKU / month</t>
        </is>
      </c>
      <c r="D68" s="84" t="inlineStr">
        <is>
          <t>FULL SCALE — expand to 1,500+ SKUs</t>
        </is>
      </c>
      <c r="E68" s="85" t="inlineStr">
        <is>
          <t>KILL (&lt; 15) — halt &amp; reallocate team</t>
        </is>
      </c>
      <c r="F68" s="83" t="inlineStr">
        <is>
          <t>~$340K</t>
        </is>
      </c>
      <c r="G68" s="83" t="inlineStr">
        <is>
          <t>M1 has launch noise; M2 = true organic signal</t>
        </is>
      </c>
    </row>
    <row r="69">
      <c r="A69" s="9" t="inlineStr">
        <is>
          <t>M9</t>
        </is>
      </c>
      <c r="B69" s="86" t="n">
        <v>55</v>
      </c>
      <c r="C69" s="87" t="n">
        <v>130</v>
      </c>
      <c r="D69" s="88" t="n">
        <v>320</v>
      </c>
      <c r="E69" s="89" t="n">
        <v>60</v>
      </c>
      <c r="F69" s="90" t="n">
        <v>150</v>
      </c>
      <c r="G69" s="91" t="n">
        <v>375</v>
      </c>
    </row>
    <row r="70" ht="5" customHeight="1">
      <c r="A70" s="33" t="inlineStr">
        <is>
          <t>M12</t>
        </is>
      </c>
      <c r="B70" s="92" t="n">
        <v>60</v>
      </c>
      <c r="C70" s="93" t="n">
        <v>150</v>
      </c>
      <c r="D70" s="94" t="n">
        <v>375</v>
      </c>
      <c r="E70" s="89" t="n">
        <v>60</v>
      </c>
      <c r="F70" s="90" t="n">
        <v>150</v>
      </c>
      <c r="G70" s="91" t="n">
        <v>375</v>
      </c>
    </row>
    <row r="71" ht="16" customHeight="1">
      <c r="A71" s="3" t="inlineStr">
        <is>
          <t>6. ROI at a Glance — Base Case $340K Investment</t>
        </is>
      </c>
    </row>
    <row r="72" ht="28" customHeight="1">
      <c r="A72" s="4" t="inlineStr">
        <is>
          <t>Metric</t>
        </is>
      </c>
      <c r="B72" s="4" t="inlineStr">
        <is>
          <t>Conservative</t>
        </is>
      </c>
      <c r="C72" s="4" t="inlineStr">
        <is>
          <t>Base Case ✓</t>
        </is>
      </c>
      <c r="D72" s="4" t="inlineStr">
        <is>
          <t>Optimistic</t>
        </is>
      </c>
      <c r="E72" s="4" t="inlineStr">
        <is>
          <t>Year 2 (SOM)</t>
        </is>
      </c>
      <c r="F72" s="4" t="inlineStr">
        <is>
          <t>Year 5 (Leadership)</t>
        </is>
      </c>
    </row>
    <row r="73" ht="20" customHeight="1">
      <c r="A73" s="9" t="inlineStr">
        <is>
          <t>Decorators</t>
        </is>
      </c>
      <c r="B73" s="95" t="inlineStr">
        <is>
          <t>20</t>
        </is>
      </c>
      <c r="C73" s="96" t="inlineStr">
        <is>
          <t>20</t>
        </is>
      </c>
      <c r="D73" s="49" t="inlineStr">
        <is>
          <t>50</t>
        </is>
      </c>
      <c r="E73" s="11" t="inlineStr">
        <is>
          <t>50</t>
        </is>
      </c>
      <c r="F73" s="11" t="inlineStr">
        <is>
          <t>—</t>
        </is>
      </c>
    </row>
    <row r="74" ht="20" customHeight="1">
      <c r="A74" s="33" t="inlineStr">
        <is>
          <t>Orders/SKU/month</t>
        </is>
      </c>
      <c r="B74" s="97" t="inlineStr">
        <is>
          <t>8</t>
        </is>
      </c>
      <c r="C74" s="96" t="inlineStr">
        <is>
          <t>20</t>
        </is>
      </c>
      <c r="D74" s="21" t="inlineStr">
        <is>
          <t>50</t>
        </is>
      </c>
      <c r="E74" s="31" t="inlineStr">
        <is>
          <t>20 (base)</t>
        </is>
      </c>
      <c r="F74" s="31" t="inlineStr">
        <is>
          <t>—</t>
        </is>
      </c>
    </row>
    <row r="75" ht="20" customHeight="1">
      <c r="A75" s="9" t="inlineStr">
        <is>
          <t>Monthly margin</t>
        </is>
      </c>
      <c r="B75" s="95" t="inlineStr">
        <is>
          <t>$60K</t>
        </is>
      </c>
      <c r="C75" s="96" t="inlineStr">
        <is>
          <t>$150K</t>
        </is>
      </c>
      <c r="D75" s="49" t="inlineStr">
        <is>
          <t>$375K</t>
        </is>
      </c>
      <c r="E75" s="11" t="inlineStr">
        <is>
          <t>—</t>
        </is>
      </c>
      <c r="F75" s="11" t="inlineStr">
        <is>
          <t>—</t>
        </is>
      </c>
    </row>
    <row r="76" ht="20" customHeight="1">
      <c r="A76" s="33" t="inlineStr">
        <is>
          <t>Annual run-rate</t>
        </is>
      </c>
      <c r="B76" s="97" t="inlineStr">
        <is>
          <t>$720K</t>
        </is>
      </c>
      <c r="C76" s="96" t="inlineStr">
        <is>
          <t>$1.8M</t>
        </is>
      </c>
      <c r="D76" s="21" t="inlineStr">
        <is>
          <t>$4.5M</t>
        </is>
      </c>
      <c r="E76" s="31" t="inlineStr">
        <is>
          <t>$2.9M</t>
        </is>
      </c>
      <c r="F76" s="31" t="inlineStr">
        <is>
          <t>$18.7M</t>
        </is>
      </c>
    </row>
    <row r="77" ht="20" customHeight="1">
      <c r="A77" s="9" t="inlineStr">
        <is>
          <t>Payback period</t>
        </is>
      </c>
      <c r="B77" s="95" t="inlineStr">
        <is>
          <t>&gt; 36 mo</t>
        </is>
      </c>
      <c r="C77" s="96" t="inlineStr">
        <is>
          <t>~16 mo</t>
        </is>
      </c>
      <c r="D77" s="49" t="inlineStr">
        <is>
          <t>~9.5 mo</t>
        </is>
      </c>
      <c r="E77" s="11" t="inlineStr">
        <is>
          <t>—</t>
        </is>
      </c>
      <c r="F77" s="11" t="inlineStr">
        <is>
          <t>—</t>
        </is>
      </c>
    </row>
    <row r="78" ht="20" customHeight="1">
      <c r="A78" s="33" t="inlineStr">
        <is>
          <t>Total investment</t>
        </is>
      </c>
      <c r="B78" s="97" t="inlineStr">
        <is>
          <t>$340K</t>
        </is>
      </c>
      <c r="C78" s="96" t="inlineStr">
        <is>
          <t>$340K</t>
        </is>
      </c>
      <c r="D78" s="21" t="inlineStr">
        <is>
          <t>$340K</t>
        </is>
      </c>
      <c r="E78" s="31" t="inlineStr">
        <is>
          <t>—</t>
        </is>
      </c>
      <c r="F78" s="31" t="inlineStr">
        <is>
          <t>—</t>
        </is>
      </c>
    </row>
    <row r="79" ht="20" customHeight="1">
      <c r="A79" s="56" t="inlineStr">
        <is>
          <t>Decision at M2</t>
        </is>
      </c>
      <c r="B79" s="71" t="inlineStr">
        <is>
          <t>KILL</t>
        </is>
      </c>
      <c r="C79" s="96" t="inlineStr">
        <is>
          <t>GO</t>
        </is>
      </c>
      <c r="D79" s="98" t="inlineStr">
        <is>
          <t>SCALE</t>
        </is>
      </c>
      <c r="E79" s="99" t="inlineStr">
        <is>
          <t>—</t>
        </is>
      </c>
      <c r="F79" s="99" t="inlineStr">
        <is>
          <t>—</t>
        </is>
      </c>
    </row>
    <row r="81" ht="24" customHeight="1">
      <c r="A81" s="34" t="inlineStr">
        <is>
          <t>Year 2 SOM: 50 Decorators × 1,500 SKUs × 20 orders/mo × $8 × 12 = $2.88M ≈ $2.9M/yr. Year 5 Leadership: $375M SAM × 50% Printify capture × 10% blended margin = $18.75M ≈ $18.7M/yr. Shopify channel (MVP 2, immediate indexing) adds 3rd demand channel — base case of 20/SKU more achievable. See Market Sizing tab for full TAM → SAM → SOM calculation.</t>
        </is>
      </c>
    </row>
  </sheetData>
  <mergeCells count="14">
    <mergeCell ref="A13:G13"/>
    <mergeCell ref="A1:G1"/>
    <mergeCell ref="A40:G40"/>
    <mergeCell ref="A3:G3"/>
    <mergeCell ref="A6:G6"/>
    <mergeCell ref="A34:G34"/>
    <mergeCell ref="A4:G4"/>
    <mergeCell ref="A24:G24"/>
    <mergeCell ref="A2:G2"/>
    <mergeCell ref="A15:G15"/>
    <mergeCell ref="A64:G64"/>
    <mergeCell ref="A25:G25"/>
    <mergeCell ref="A81:G81"/>
    <mergeCell ref="A71:G71"/>
  </mergeCells>
  <pageMargins left="0.75" right="0.75" top="1" bottom="1" header="0.5" footer="0.5"/>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H29"/>
  <sheetViews>
    <sheetView showGridLines="0" workbookViewId="0">
      <pane xSplit="1" ySplit="2" topLeftCell="B3" activePane="bottomRight" state="frozen"/>
      <selection pane="topRight"/>
      <selection pane="bottomLeft"/>
      <selection pane="bottomRight" activeCell="A1" sqref="A1"/>
    </sheetView>
  </sheetViews>
  <sheetFormatPr baseColWidth="8" defaultRowHeight="15"/>
  <cols>
    <col width="16" customWidth="1" min="1" max="1"/>
    <col width="16" customWidth="1" min="2" max="2"/>
    <col width="16" customWidth="1" min="3" max="3"/>
    <col width="14" customWidth="1" min="4" max="4"/>
    <col width="16" customWidth="1" min="5" max="5"/>
    <col width="38" customWidth="1" min="6" max="6"/>
    <col width="10" customWidth="1" min="7" max="7"/>
    <col width="12" customWidth="1" min="8" max="8"/>
  </cols>
  <sheetData>
    <row r="1" ht="16" customHeight="1">
      <c r="A1" s="3" t="inlineStr">
        <is>
          <t>🏁  Competitor Benchmark — Leather POD Landscape</t>
        </is>
      </c>
    </row>
    <row r="2" ht="5" customHeight="1"/>
    <row r="3" ht="16" customHeight="1">
      <c r="A3" s="3" t="inlineStr">
        <is>
          <t>1. Feature Matrix</t>
        </is>
      </c>
    </row>
    <row r="4" ht="28" customHeight="1">
      <c r="A4" s="4" t="inlineStr">
        <is>
          <t>Capability</t>
        </is>
      </c>
      <c r="B4" s="4" t="inlineStr">
        <is>
          <t>Printify TODAY</t>
        </is>
      </c>
      <c r="C4" s="4" t="inlineStr">
        <is>
          <t>Printify POST-PRD</t>
        </is>
      </c>
      <c r="D4" s="4" t="inlineStr">
        <is>
          <t>Printful</t>
        </is>
      </c>
      <c r="E4" s="4" t="inlineStr">
        <is>
          <t>Gelato</t>
        </is>
      </c>
      <c r="F4" s="4" t="inlineStr">
        <is>
          <t>Gooten</t>
        </is>
      </c>
      <c r="G4" s="4" t="inlineStr">
        <is>
          <t>SPOD</t>
        </is>
      </c>
      <c r="H4" s="4" t="inlineStr">
        <is>
          <t>PrintKK</t>
        </is>
      </c>
    </row>
    <row r="5">
      <c r="A5" s="9" t="inlineStr">
        <is>
          <t>Genuine leather products (Full-Grain / Top-Grain)</t>
        </is>
      </c>
      <c r="B5" s="95" t="inlineStr">
        <is>
          <t>❌ 0</t>
        </is>
      </c>
      <c r="C5" s="100" t="inlineStr">
        <is>
          <t>✅ 150+ SKUs</t>
        </is>
      </c>
      <c r="D5" s="95" t="inlineStr">
        <is>
          <t>❌</t>
        </is>
      </c>
      <c r="E5" s="95" t="inlineStr">
        <is>
          <t>❌</t>
        </is>
      </c>
      <c r="F5" s="95" t="inlineStr">
        <is>
          <t>❌</t>
        </is>
      </c>
      <c r="G5" s="95" t="inlineStr">
        <is>
          <t>❌</t>
        </is>
      </c>
      <c r="H5" s="95" t="inlineStr">
        <is>
          <t>⚠ Yes, no standards</t>
        </is>
      </c>
    </row>
    <row r="6">
      <c r="A6" s="33" t="inlineStr">
        <is>
          <t>Synthetic PU / faux leather</t>
        </is>
      </c>
      <c r="B6" s="21" t="inlineStr">
        <is>
          <t>✅ ~45</t>
        </is>
      </c>
      <c r="C6" s="100" t="inlineStr">
        <is>
          <t>✅</t>
        </is>
      </c>
      <c r="D6" s="21" t="inlineStr">
        <is>
          <t>✅</t>
        </is>
      </c>
      <c r="E6" s="21" t="inlineStr">
        <is>
          <t>✅</t>
        </is>
      </c>
      <c r="F6" s="21" t="inlineStr">
        <is>
          <t>✅</t>
        </is>
      </c>
      <c r="G6" s="21" t="inlineStr">
        <is>
          <t>✅</t>
        </is>
      </c>
      <c r="H6" s="21" t="inlineStr">
        <is>
          <t>✅</t>
        </is>
      </c>
    </row>
    <row r="7">
      <c r="A7" s="9" t="inlineStr">
        <is>
          <t>Material taxonomy (tier classification)</t>
        </is>
      </c>
      <c r="B7" s="95" t="inlineStr">
        <is>
          <t>❌</t>
        </is>
      </c>
      <c r="C7" s="100" t="inlineStr">
        <is>
          <t>✅ 8 fields</t>
        </is>
      </c>
      <c r="D7" s="95" t="inlineStr">
        <is>
          <t>❌</t>
        </is>
      </c>
      <c r="E7" s="95" t="inlineStr">
        <is>
          <t>❌</t>
        </is>
      </c>
      <c r="F7" s="95" t="inlineStr">
        <is>
          <t>❌</t>
        </is>
      </c>
      <c r="G7" s="95" t="inlineStr">
        <is>
          <t>❌</t>
        </is>
      </c>
      <c r="H7" s="95" t="inlineStr">
        <is>
          <t>❌</t>
        </is>
      </c>
    </row>
    <row r="8">
      <c r="A8" s="33" t="inlineStr">
        <is>
          <t>FTC compliance / auto-reject mislabeling</t>
        </is>
      </c>
      <c r="B8" s="97" t="inlineStr">
        <is>
          <t>❌</t>
        </is>
      </c>
      <c r="C8" s="100" t="inlineStr">
        <is>
          <t>✅ MAT-001</t>
        </is>
      </c>
      <c r="D8" s="97" t="inlineStr">
        <is>
          <t>❌</t>
        </is>
      </c>
      <c r="E8" s="97" t="inlineStr">
        <is>
          <t>❌</t>
        </is>
      </c>
      <c r="F8" s="97" t="inlineStr">
        <is>
          <t>❌</t>
        </is>
      </c>
      <c r="G8" s="97" t="inlineStr">
        <is>
          <t>❌</t>
        </is>
      </c>
      <c r="H8" s="97" t="inlineStr">
        <is>
          <t>❌</t>
        </is>
      </c>
    </row>
    <row r="9">
      <c r="A9" s="9" t="inlineStr">
        <is>
          <t>Laser engraving support</t>
        </is>
      </c>
      <c r="B9" s="95" t="inlineStr">
        <is>
          <t>❌</t>
        </is>
      </c>
      <c r="C9" s="100" t="inlineStr">
        <is>
          <t>✅ MVP 1</t>
        </is>
      </c>
      <c r="D9" s="95" t="inlineStr">
        <is>
          <t>❌</t>
        </is>
      </c>
      <c r="E9" s="95" t="inlineStr">
        <is>
          <t>❌</t>
        </is>
      </c>
      <c r="F9" s="95" t="inlineStr">
        <is>
          <t>❌</t>
        </is>
      </c>
      <c r="G9" s="95" t="inlineStr">
        <is>
          <t>❌</t>
        </is>
      </c>
      <c r="H9" s="49" t="inlineStr">
        <is>
          <t>✅</t>
        </is>
      </c>
    </row>
    <row r="10">
      <c r="A10" s="33" t="inlineStr">
        <is>
          <t>Debossing support</t>
        </is>
      </c>
      <c r="B10" s="97" t="inlineStr">
        <is>
          <t>❌</t>
        </is>
      </c>
      <c r="C10" s="100" t="inlineStr">
        <is>
          <t>✅ MVP 1</t>
        </is>
      </c>
      <c r="D10" s="97" t="inlineStr">
        <is>
          <t>❌</t>
        </is>
      </c>
      <c r="E10" s="97" t="inlineStr">
        <is>
          <t>❌</t>
        </is>
      </c>
      <c r="F10" s="97" t="inlineStr">
        <is>
          <t>❌</t>
        </is>
      </c>
      <c r="G10" s="97" t="inlineStr">
        <is>
          <t>❌</t>
        </is>
      </c>
      <c r="H10" s="97" t="inlineStr">
        <is>
          <t>⚠ Partial</t>
        </is>
      </c>
    </row>
    <row r="11">
      <c r="A11" s="9" t="inlineStr">
        <is>
          <t>Leather mockup engine</t>
        </is>
      </c>
      <c r="B11" s="95" t="inlineStr">
        <is>
          <t>❌</t>
        </is>
      </c>
      <c r="C11" s="100" t="inlineStr">
        <is>
          <t>✅ MVP 2</t>
        </is>
      </c>
      <c r="D11" s="49" t="inlineStr">
        <is>
          <t>✅</t>
        </is>
      </c>
      <c r="E11" s="95" t="inlineStr">
        <is>
          <t>❌</t>
        </is>
      </c>
      <c r="F11" s="95" t="inlineStr">
        <is>
          <t>❌</t>
        </is>
      </c>
      <c r="G11" s="95" t="inlineStr">
        <is>
          <t>❌</t>
        </is>
      </c>
      <c r="H11" s="95" t="inlineStr">
        <is>
          <t>⚠ Basic</t>
        </is>
      </c>
    </row>
    <row r="12">
      <c r="A12" s="33" t="inlineStr">
        <is>
          <t>Decorator self-onboard portal (leather)</t>
        </is>
      </c>
      <c r="B12" s="97" t="inlineStr">
        <is>
          <t>❌</t>
        </is>
      </c>
      <c r="C12" s="100" t="inlineStr">
        <is>
          <t>✅ MVP 2</t>
        </is>
      </c>
      <c r="D12" s="97" t="inlineStr">
        <is>
          <t>❌</t>
        </is>
      </c>
      <c r="E12" s="97" t="inlineStr">
        <is>
          <t>❌</t>
        </is>
      </c>
      <c r="F12" s="97" t="inlineStr">
        <is>
          <t>❌</t>
        </is>
      </c>
      <c r="G12" s="97" t="inlineStr">
        <is>
          <t>❌</t>
        </is>
      </c>
      <c r="H12" s="97" t="inlineStr">
        <is>
          <t>❌</t>
        </is>
      </c>
    </row>
    <row r="13">
      <c r="A13" s="9" t="inlineStr">
        <is>
          <t>AI field-assist for material attributes</t>
        </is>
      </c>
      <c r="B13" s="95" t="inlineStr">
        <is>
          <t>❌</t>
        </is>
      </c>
      <c r="C13" s="100" t="inlineStr">
        <is>
          <t>✅ MVP 2</t>
        </is>
      </c>
      <c r="D13" s="95" t="inlineStr">
        <is>
          <t>❌</t>
        </is>
      </c>
      <c r="E13" s="95" t="inlineStr">
        <is>
          <t>❌</t>
        </is>
      </c>
      <c r="F13" s="95" t="inlineStr">
        <is>
          <t>❌</t>
        </is>
      </c>
      <c r="G13" s="95" t="inlineStr">
        <is>
          <t>❌</t>
        </is>
      </c>
      <c r="H13" s="95" t="inlineStr">
        <is>
          <t>❌</t>
        </is>
      </c>
    </row>
    <row r="14">
      <c r="A14" s="33" t="inlineStr">
        <is>
          <t>Prop 65 auto-disclosure (CA / Amazon)</t>
        </is>
      </c>
      <c r="B14" s="97" t="inlineStr">
        <is>
          <t>❌</t>
        </is>
      </c>
      <c r="C14" s="100" t="inlineStr">
        <is>
          <t>✅ MVP 3</t>
        </is>
      </c>
      <c r="D14" s="97" t="inlineStr">
        <is>
          <t>❌</t>
        </is>
      </c>
      <c r="E14" s="97" t="inlineStr">
        <is>
          <t>❌</t>
        </is>
      </c>
      <c r="F14" s="97" t="inlineStr">
        <is>
          <t>❌</t>
        </is>
      </c>
      <c r="G14" s="97" t="inlineStr">
        <is>
          <t>❌</t>
        </is>
      </c>
      <c r="H14" s="97" t="inlineStr">
        <is>
          <t>❌</t>
        </is>
      </c>
    </row>
    <row r="15">
      <c r="A15" s="9" t="inlineStr">
        <is>
          <t>Amazon SP-API leather category</t>
        </is>
      </c>
      <c r="B15" s="95" t="inlineStr">
        <is>
          <t>❌</t>
        </is>
      </c>
      <c r="C15" s="100" t="inlineStr">
        <is>
          <t>✅ MVP 3</t>
        </is>
      </c>
      <c r="D15" s="49" t="inlineStr">
        <is>
          <t>✅</t>
        </is>
      </c>
      <c r="E15" s="95" t="inlineStr">
        <is>
          <t>⚠</t>
        </is>
      </c>
      <c r="F15" s="95" t="inlineStr">
        <is>
          <t>❌</t>
        </is>
      </c>
      <c r="G15" s="95" t="inlineStr">
        <is>
          <t>❌</t>
        </is>
      </c>
      <c r="H15" s="95" t="inlineStr">
        <is>
          <t>❌</t>
        </is>
      </c>
    </row>
    <row r="16">
      <c r="A16" s="33" t="inlineStr">
        <is>
          <t>LWG / Oeko-Tex certification field</t>
        </is>
      </c>
      <c r="B16" s="97" t="inlineStr">
        <is>
          <t>❌</t>
        </is>
      </c>
      <c r="C16" s="101" t="inlineStr">
        <is>
          <t>⏳ V2</t>
        </is>
      </c>
      <c r="D16" s="97" t="inlineStr">
        <is>
          <t>❌</t>
        </is>
      </c>
      <c r="E16" s="97" t="inlineStr">
        <is>
          <t>❌</t>
        </is>
      </c>
      <c r="F16" s="97" t="inlineStr">
        <is>
          <t>❌</t>
        </is>
      </c>
      <c r="G16" s="97" t="inlineStr">
        <is>
          <t>❌</t>
        </is>
      </c>
      <c r="H16" s="97" t="inlineStr">
        <is>
          <t>❌</t>
        </is>
      </c>
    </row>
    <row r="17">
      <c r="A17" s="9" t="inlineStr">
        <is>
          <t>Etsy material attribute mapping</t>
        </is>
      </c>
      <c r="B17" s="95" t="inlineStr">
        <is>
          <t>⚠ Generic</t>
        </is>
      </c>
      <c r="C17" s="100" t="inlineStr">
        <is>
          <t>✅ MVP 3</t>
        </is>
      </c>
      <c r="D17" s="49" t="inlineStr">
        <is>
          <t>✅</t>
        </is>
      </c>
      <c r="E17" s="49" t="inlineStr">
        <is>
          <t>✅</t>
        </is>
      </c>
      <c r="F17" s="95" t="inlineStr">
        <is>
          <t>⚠</t>
        </is>
      </c>
      <c r="G17" s="95" t="inlineStr">
        <is>
          <t>❌</t>
        </is>
      </c>
      <c r="H17" s="95" t="inlineStr">
        <is>
          <t>❌</t>
        </is>
      </c>
    </row>
    <row r="19" ht="5" customHeight="1"/>
    <row r="20" ht="16" customHeight="1">
      <c r="A20" s="3" t="inlineStr">
        <is>
          <t>2. Competitive Summary</t>
        </is>
      </c>
    </row>
    <row r="21" ht="28" customHeight="1">
      <c r="A21" s="4" t="inlineStr">
        <is>
          <t>Company</t>
        </is>
      </c>
      <c r="B21" s="4" t="inlineStr">
        <is>
          <t>Genuine leather</t>
        </is>
      </c>
      <c r="C21" s="4" t="inlineStr">
        <is>
          <t>Material taxonomy</t>
        </is>
      </c>
      <c r="D21" s="4" t="inlineStr">
        <is>
          <t>FTC compliance</t>
        </is>
      </c>
      <c r="E21" s="4" t="inlineStr">
        <is>
          <t>Competitive threat</t>
        </is>
      </c>
      <c r="F21" s="4" t="inlineStr">
        <is>
          <t>Strategic note</t>
        </is>
      </c>
    </row>
    <row r="22">
      <c r="A22" s="33" t="inlineStr">
        <is>
          <t>Gelato</t>
        </is>
      </c>
      <c r="B22" s="18" t="inlineStr">
        <is>
          <t>None</t>
        </is>
      </c>
      <c r="C22" s="18" t="inlineStr">
        <is>
          <t>None</t>
        </is>
      </c>
      <c r="D22" s="18" t="inlineStr">
        <is>
          <t>None</t>
        </is>
      </c>
      <c r="E22" s="55" t="inlineStr">
        <is>
          <t>Low</t>
        </is>
      </c>
      <c r="F22" s="18" t="inlineStr">
        <is>
          <t>Premium-priced, EU-focused; no leather investment observed</t>
        </is>
      </c>
    </row>
    <row r="23">
      <c r="A23" s="9" t="inlineStr">
        <is>
          <t>Gooten</t>
        </is>
      </c>
      <c r="B23" s="10" t="inlineStr">
        <is>
          <t>None</t>
        </is>
      </c>
      <c r="C23" s="10" t="inlineStr">
        <is>
          <t>None</t>
        </is>
      </c>
      <c r="D23" s="10" t="inlineStr">
        <is>
          <t>None</t>
        </is>
      </c>
      <c r="E23" s="53" t="inlineStr">
        <is>
          <t>Low</t>
        </is>
      </c>
      <c r="F23" s="10" t="inlineStr">
        <is>
          <t>B2B focus; no consumer leather demand signal</t>
        </is>
      </c>
    </row>
    <row r="24">
      <c r="A24" s="33" t="inlineStr">
        <is>
          <t>SPOD</t>
        </is>
      </c>
      <c r="B24" s="18" t="inlineStr">
        <is>
          <t>None</t>
        </is>
      </c>
      <c r="C24" s="18" t="inlineStr">
        <is>
          <t>None</t>
        </is>
      </c>
      <c r="D24" s="18" t="inlineStr">
        <is>
          <t>None</t>
        </is>
      </c>
      <c r="E24" s="55" t="inlineStr">
        <is>
          <t>Low</t>
        </is>
      </c>
      <c r="F24" s="18" t="inlineStr">
        <is>
          <t>Speed-focused (48h); no leather category</t>
        </is>
      </c>
    </row>
    <row r="25">
      <c r="A25" s="56" t="inlineStr">
        <is>
          <t>Printful</t>
        </is>
      </c>
      <c r="B25" s="57" t="inlineStr">
        <is>
          <t>PU/faux</t>
        </is>
      </c>
      <c r="C25" s="57" t="inlineStr">
        <is>
          <t>None</t>
        </is>
      </c>
      <c r="D25" s="57" t="inlineStr">
        <is>
          <t>None</t>
        </is>
      </c>
      <c r="E25" s="50" t="inlineStr">
        <is>
          <t>Medium</t>
        </is>
      </c>
      <c r="F25" s="57" t="inlineStr">
        <is>
          <t>Scale advantage; could add genuine leather if they see Printify traction</t>
        </is>
      </c>
    </row>
    <row r="26">
      <c r="A26" s="56" t="inlineStr">
        <is>
          <t>PrintKK</t>
        </is>
      </c>
      <c r="B26" s="57" t="inlineStr">
        <is>
          <t>Yes ✅</t>
        </is>
      </c>
      <c r="C26" s="57" t="inlineStr">
        <is>
          <t>None</t>
        </is>
      </c>
      <c r="D26" s="57" t="inlineStr">
        <is>
          <t>None</t>
        </is>
      </c>
      <c r="E26" s="50" t="inlineStr">
        <is>
          <t>Medium–High</t>
        </is>
      </c>
      <c r="F26" s="57" t="inlineStr">
        <is>
          <t>Only leather-focused POD — but zero material classification or FTC compliance. Key first-mover threat.</t>
        </is>
      </c>
    </row>
    <row r="27">
      <c r="A27" s="67" t="inlineStr">
        <is>
          <t>Printify</t>
        </is>
      </c>
      <c r="B27" s="40" t="inlineStr">
        <is>
          <t>~45 PU ❌</t>
        </is>
      </c>
      <c r="C27" s="40" t="inlineStr">
        <is>
          <t>None</t>
        </is>
      </c>
      <c r="D27" s="40" t="inlineStr">
        <is>
          <t>None</t>
        </is>
      </c>
      <c r="E27" s="40" t="inlineStr">
        <is>
          <t>N/A (us)</t>
        </is>
      </c>
      <c r="F27" s="40" t="inlineStr">
        <is>
          <t>Opportunity: first POD with structured leather taxonomy + automated FTC compliance = defensive moat</t>
        </is>
      </c>
    </row>
    <row r="29" ht="24" customHeight="1">
      <c r="A29" s="34" t="inlineStr">
        <is>
          <t>⚠ Data from public catalog review and industry reports. PrintKK is the only direct genuine-leather POD threat — but zero taxonomy/compliance. Competitive window: ~18 months before Printful/Gelato close the gap if Printify shows traction.</t>
        </is>
      </c>
    </row>
  </sheetData>
  <mergeCells count="4">
    <mergeCell ref="A20:H20"/>
    <mergeCell ref="A3:H3"/>
    <mergeCell ref="A29:H29"/>
    <mergeCell ref="A1:H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Z55"/>
  <sheetViews>
    <sheetView showGridLines="0" workbookViewId="0">
      <pane ySplit="3" topLeftCell="A4" activePane="bottomLeft" state="frozen"/>
      <selection pane="bottomLeft" activeCell="A1" sqref="A1"/>
    </sheetView>
  </sheetViews>
  <sheetFormatPr baseColWidth="8" defaultRowHeight="15"/>
  <cols>
    <col width="18" customWidth="1" min="1" max="1"/>
    <col width="28" customWidth="1" min="2" max="2"/>
    <col width="24" customWidth="1" min="3" max="3"/>
    <col width="20" customWidth="1" min="4" max="4"/>
    <col width="24" customWidth="1" min="5" max="5"/>
    <col width="12" customWidth="1" min="6" max="6"/>
    <col width="3.8" customWidth="1" min="7" max="7"/>
    <col width="3.8" customWidth="1" min="8" max="8"/>
    <col width="3.8" customWidth="1" min="9" max="9"/>
    <col width="3.8" customWidth="1" min="10" max="10"/>
    <col width="3.8" customWidth="1" min="11" max="11"/>
    <col width="3.8" customWidth="1" min="12" max="12"/>
    <col width="3.8" customWidth="1" min="13" max="13"/>
    <col width="3.8" customWidth="1" min="14" max="14"/>
    <col width="3.8" customWidth="1" min="15" max="15"/>
    <col width="3.8" customWidth="1" min="16" max="16"/>
    <col width="3.8" customWidth="1" min="17" max="17"/>
    <col width="3.8" customWidth="1" min="18" max="18"/>
    <col width="3.8" customWidth="1" min="19" max="19"/>
    <col width="3.8" customWidth="1" min="20" max="20"/>
    <col width="3.8" customWidth="1" min="21" max="21"/>
    <col width="3.8" customWidth="1" min="22" max="22"/>
    <col width="3.8" customWidth="1" min="23" max="23"/>
    <col width="3.8" customWidth="1" min="24" max="24"/>
    <col width="3.8" customWidth="1" min="25" max="25"/>
    <col width="3.8" customWidth="1" min="26" max="26"/>
  </cols>
  <sheetData>
    <row r="1" ht="16" customHeight="1">
      <c r="A1" s="3" t="inlineStr">
        <is>
          <t>🗓️  24-Week Execution Roadmap &amp; Investment Phasing</t>
        </is>
      </c>
    </row>
    <row r="2" ht="5" customHeight="1"/>
    <row r="3" ht="16" customHeight="1">
      <c r="A3" s="3" t="inlineStr">
        <is>
          <t>1. Phase Overview</t>
        </is>
      </c>
    </row>
    <row r="4" ht="28" customHeight="1">
      <c r="A4" s="4" t="inlineStr">
        <is>
          <t>Phase</t>
        </is>
      </c>
      <c r="B4" s="4" t="inlineStr">
        <is>
          <t>Timeline</t>
        </is>
      </c>
      <c r="C4" s="4" t="inlineStr">
        <is>
          <t>Cost</t>
        </is>
      </c>
      <c r="D4" s="4" t="inlineStr">
        <is>
          <t>Cumulative</t>
        </is>
      </c>
      <c r="E4" s="4" t="inlineStr">
        <is>
          <t>Scope &amp; Key Deliverables</t>
        </is>
      </c>
      <c r="F4" s="4" t="inlineStr">
        <is>
          <t>Exit Criteria / Gate</t>
        </is>
      </c>
      <c r="G4" s="4" t="inlineStr">
        <is>
          <t>Risk flag</t>
        </is>
      </c>
    </row>
    <row r="5" ht="52" customHeight="1">
      <c r="A5" s="9" t="inlineStr">
        <is>
          <t>PoC</t>
        </is>
      </c>
      <c r="B5" s="10" t="inlineStr">
        <is>
          <t>W0</t>
        </is>
      </c>
      <c r="C5" s="10" t="inlineStr">
        <is>
          <t>$0</t>
        </is>
      </c>
      <c r="D5" s="10" t="inlineStr">
        <is>
          <t>$0</t>
        </is>
      </c>
      <c r="E5" s="10" t="inlineStr">
        <is>
          <t>PM outreach to 50 existing Printify customers · Supplier SLA validation (Photograve / Fulfill Engine)</t>
        </is>
      </c>
      <c r="F5" s="10" t="inlineStr">
        <is>
          <t>≥ 5 signed Decorator LOIs + supplier confirmed</t>
        </is>
      </c>
      <c r="G5" s="10" t="inlineStr"/>
    </row>
    <row r="6" ht="52" customHeight="1">
      <c r="A6" s="33" t="inlineStr">
        <is>
          <t>Design Sprint</t>
        </is>
      </c>
      <c r="B6" s="18" t="inlineStr">
        <is>
          <t>W1–W2</t>
        </is>
      </c>
      <c r="C6" s="18" t="inlineStr">
        <is>
          <t>~$20K</t>
        </is>
      </c>
      <c r="D6" s="18" t="inlineStr">
        <is>
          <t>~$20K</t>
        </is>
      </c>
      <c r="E6" s="18" t="inlineStr">
        <is>
          <t>UX for plain-language material labels · MAT-001 scoring state UI (pending/rejected/appeal) · Figma handoff · DS components: quality tier indicator, ECO badge, compliance banner</t>
        </is>
      </c>
      <c r="F6" s="18" t="inlineStr">
        <is>
          <t>Figma approved by FE Director + UX Lead</t>
        </is>
      </c>
      <c r="G6" s="18" t="inlineStr"/>
    </row>
    <row r="7" ht="52" customHeight="1">
      <c r="A7" s="9" t="inlineStr">
        <is>
          <t>MVP 1 — Schema</t>
        </is>
      </c>
      <c r="B7" s="10" t="inlineStr">
        <is>
          <t>W3–W8</t>
        </is>
      </c>
      <c r="C7" s="10" t="inlineStr">
        <is>
          <t>~$80K</t>
        </is>
      </c>
      <c r="D7" s="10" t="inlineStr">
        <is>
          <t>~$100K</t>
        </is>
      </c>
      <c r="E7" s="10" t="inlineStr">
        <is>
          <t>8 schema fields (leather_grade, tanning_method, finish_type, hide_thickness_mm, hide_origin, grain_correction, compliance_cert, eco_claims) · MAT-001 AI classifier · laser_engraving + debossing API enums</t>
        </is>
      </c>
      <c r="F7" s="10" t="inlineStr">
        <is>
          <t>≥ 88% MAT-001 auto-approve · FP &lt; 2% · Audit log live</t>
        </is>
      </c>
      <c r="G7" s="10" t="inlineStr"/>
    </row>
    <row r="8" ht="52" customHeight="1">
      <c r="A8" s="56" t="inlineStr">
        <is>
          <t>MVP 2 — Mockup</t>
        </is>
      </c>
      <c r="B8" s="57" t="inlineStr">
        <is>
          <t>W9–W16</t>
        </is>
      </c>
      <c r="C8" s="57" t="inlineStr">
        <is>
          <t>~$120K</t>
        </is>
      </c>
      <c r="D8" s="57" t="inlineStr">
        <is>
          <t>~$220K</t>
        </is>
      </c>
      <c r="E8" s="57" t="inlineStr">
        <is>
          <t>Static leather texture mockup engine (3 textures/tier · assets locked W9D1) · Decorator portal (8 fields, plain-language) · AI field-assist agent · MAT-001 scoring UX · 5 Decorators complete onboarding</t>
        </is>
      </c>
      <c r="F8" s="57" t="inlineStr">
        <is>
          <t>5 Decorators with 150 valid blueprints · error rate &lt; 10%</t>
        </is>
      </c>
      <c r="G8" s="50" t="inlineStr">
        <is>
          <t>⚠ CRITICAL PATH — 8-week longest phase</t>
        </is>
      </c>
    </row>
    <row r="9" ht="52" customHeight="1">
      <c r="A9" s="33" t="inlineStr">
        <is>
          <t>MVP 3 — Channels</t>
        </is>
      </c>
      <c r="B9" s="18" t="inlineStr">
        <is>
          <t>W17–W24</t>
        </is>
      </c>
      <c r="C9" s="18" t="inlineStr">
        <is>
          <t>~$120K</t>
        </is>
      </c>
      <c r="D9" s="18" t="inlineStr">
        <is>
          <t>~$340K</t>
        </is>
      </c>
      <c r="E9" s="18" t="inlineStr">
        <is>
          <t>Shopify metafields (W17–18) · Etsy material attr (W17–18) · Amazon LeatherType + Prop 65 SP-API (W19–22) · WooCommerce (W23–24) · 150 SKUs live · Pilot Month 1 read</t>
        </is>
      </c>
      <c r="F9" s="52" t="inlineStr">
        <is>
          <t>≥ 20 orders/SKU Month 1 · KILL if &lt; 15 at Month 2</t>
        </is>
      </c>
      <c r="G9" s="18" t="inlineStr">
        <is>
          <t>SP-API approval 2–4w — apply at W10</t>
        </is>
      </c>
    </row>
    <row r="11" ht="5" customHeight="1"/>
    <row r="12" ht="16" customHeight="1">
      <c r="A12" s="3" t="inlineStr">
        <is>
          <t>2. Gantt — Week-by-Week (W0–W24)</t>
        </is>
      </c>
    </row>
    <row r="13">
      <c r="A13" s="102" t="inlineStr">
        <is>
          <t>Phase</t>
        </is>
      </c>
      <c r="B13" s="103" t="inlineStr">
        <is>
          <t>W0</t>
        </is>
      </c>
      <c r="C13" s="103" t="inlineStr">
        <is>
          <t>W1</t>
        </is>
      </c>
      <c r="D13" s="103" t="inlineStr">
        <is>
          <t>W2</t>
        </is>
      </c>
      <c r="E13" s="103" t="inlineStr">
        <is>
          <t>W3</t>
        </is>
      </c>
      <c r="F13" s="103" t="inlineStr">
        <is>
          <t>W4</t>
        </is>
      </c>
      <c r="G13" s="103" t="inlineStr">
        <is>
          <t>W5</t>
        </is>
      </c>
      <c r="H13" s="103" t="inlineStr">
        <is>
          <t>W6</t>
        </is>
      </c>
      <c r="I13" s="103" t="inlineStr">
        <is>
          <t>W7</t>
        </is>
      </c>
      <c r="J13" s="103" t="inlineStr">
        <is>
          <t>W8</t>
        </is>
      </c>
      <c r="K13" s="103" t="inlineStr">
        <is>
          <t>W9</t>
        </is>
      </c>
      <c r="L13" s="103" t="inlineStr">
        <is>
          <t>W10</t>
        </is>
      </c>
      <c r="M13" s="103" t="inlineStr">
        <is>
          <t>W11</t>
        </is>
      </c>
      <c r="N13" s="103" t="inlineStr">
        <is>
          <t>W12</t>
        </is>
      </c>
      <c r="O13" s="103" t="inlineStr">
        <is>
          <t>W13</t>
        </is>
      </c>
      <c r="P13" s="103" t="inlineStr">
        <is>
          <t>W14</t>
        </is>
      </c>
      <c r="Q13" s="103" t="inlineStr">
        <is>
          <t>W15</t>
        </is>
      </c>
      <c r="R13" s="103" t="inlineStr">
        <is>
          <t>W16</t>
        </is>
      </c>
      <c r="S13" s="103" t="inlineStr">
        <is>
          <t>W17</t>
        </is>
      </c>
      <c r="T13" s="103" t="inlineStr">
        <is>
          <t>W18</t>
        </is>
      </c>
      <c r="U13" s="103" t="inlineStr">
        <is>
          <t>W19</t>
        </is>
      </c>
      <c r="V13" s="103" t="inlineStr">
        <is>
          <t>W20</t>
        </is>
      </c>
      <c r="W13" s="103" t="inlineStr">
        <is>
          <t>W21</t>
        </is>
      </c>
      <c r="X13" s="103" t="inlineStr">
        <is>
          <t>W22</t>
        </is>
      </c>
      <c r="Y13" s="103" t="inlineStr">
        <is>
          <t>W23</t>
        </is>
      </c>
      <c r="Z13" s="103" t="inlineStr">
        <is>
          <t>W24</t>
        </is>
      </c>
    </row>
    <row r="14" ht="16" customHeight="1">
      <c r="A14" s="104" t="inlineStr">
        <is>
          <t>PoC</t>
        </is>
      </c>
      <c r="B14" s="105" t="n"/>
    </row>
    <row r="15" ht="16" customHeight="1">
      <c r="A15" s="104" t="inlineStr">
        <is>
          <t>Design Sprint</t>
        </is>
      </c>
      <c r="C15" s="106" t="n"/>
      <c r="D15" s="106" t="n"/>
    </row>
    <row r="16" ht="16" customHeight="1">
      <c r="A16" s="104" t="inlineStr">
        <is>
          <t>MVP 1 — Schema</t>
        </is>
      </c>
      <c r="E16" s="107" t="n"/>
      <c r="F16" s="107" t="n"/>
      <c r="G16" s="107" t="n"/>
      <c r="H16" s="107" t="n"/>
      <c r="I16" s="107" t="n"/>
      <c r="J16" s="107" t="n"/>
    </row>
    <row r="17" ht="16" customHeight="1">
      <c r="A17" s="104" t="inlineStr">
        <is>
          <t>MVP 2 — Mockup</t>
        </is>
      </c>
      <c r="K17" s="108" t="n"/>
      <c r="L17" s="108" t="n"/>
      <c r="M17" s="108" t="n"/>
      <c r="N17" s="108" t="n"/>
      <c r="O17" s="108" t="n"/>
      <c r="P17" s="108" t="n"/>
      <c r="Q17" s="108" t="n"/>
      <c r="R17" s="108" t="n"/>
    </row>
    <row r="18" ht="16" customHeight="1">
      <c r="A18" s="104" t="inlineStr">
        <is>
          <t>MVP 3 — Channels</t>
        </is>
      </c>
      <c r="S18" s="109" t="n"/>
      <c r="T18" s="109" t="n"/>
      <c r="U18" s="109" t="n"/>
      <c r="V18" s="109" t="n"/>
      <c r="W18" s="109" t="n"/>
      <c r="X18" s="109" t="n"/>
      <c r="Y18" s="109" t="n"/>
      <c r="Z18" s="109" t="n"/>
    </row>
    <row r="21" customHeight="1">
      <c r="A21" t="inlineStr">
        <is>
          <t>Phase</t>
        </is>
      </c>
      <c r="B21" t="inlineStr">
        <is>
          <t>Phase Cost $K</t>
        </is>
      </c>
      <c r="C21" t="inlineStr">
        <is>
          <t>Cumulative $K</t>
        </is>
      </c>
    </row>
    <row r="22" customHeight="1">
      <c r="A22" t="inlineStr">
        <is>
          <t>PoC</t>
        </is>
      </c>
      <c r="B22" t="n">
        <v>0</v>
      </c>
      <c r="C22" t="n">
        <v>0</v>
      </c>
    </row>
    <row r="23" customHeight="1">
      <c r="A23" t="inlineStr">
        <is>
          <t>Design Sprint</t>
        </is>
      </c>
      <c r="B23" t="n">
        <v>20</v>
      </c>
      <c r="C23" t="n">
        <v>20</v>
      </c>
    </row>
    <row r="24" customHeight="1">
      <c r="A24" t="inlineStr">
        <is>
          <t>MVP 1</t>
        </is>
      </c>
      <c r="B24" t="n">
        <v>80</v>
      </c>
      <c r="C24" t="n">
        <v>100</v>
      </c>
    </row>
    <row r="25" customHeight="1">
      <c r="A25" t="inlineStr">
        <is>
          <t>MVP 2</t>
        </is>
      </c>
      <c r="B25" t="n">
        <v>120</v>
      </c>
      <c r="C25" t="n">
        <v>220</v>
      </c>
    </row>
    <row r="26" customHeight="1">
      <c r="A26" t="inlineStr">
        <is>
          <t>MVP 3</t>
        </is>
      </c>
      <c r="B26" t="n">
        <v>120</v>
      </c>
      <c r="C26" t="n">
        <v>340</v>
      </c>
    </row>
    <row r="47" ht="16" customHeight="1">
      <c r="A47" s="3" t="inlineStr">
        <is>
          <t>3. KR Validation by Phase</t>
        </is>
      </c>
    </row>
    <row r="48" ht="28" customHeight="1">
      <c r="A48" s="4" t="inlineStr">
        <is>
          <t>Phase</t>
        </is>
      </c>
      <c r="B48" s="4" t="inlineStr">
        <is>
          <t>Hypothesis</t>
        </is>
      </c>
      <c r="C48" s="4" t="inlineStr">
        <is>
          <t>KPI / KR</t>
        </is>
      </c>
      <c r="D48" s="4" t="inlineStr">
        <is>
          <t>Revenue signal</t>
        </is>
      </c>
      <c r="E48" s="4" t="inlineStr">
        <is>
          <t>Decision</t>
        </is>
      </c>
      <c r="F48" s="4" t="inlineStr">
        <is>
          <t>Month equiv.</t>
        </is>
      </c>
    </row>
    <row r="49">
      <c r="A49" s="10" t="inlineStr">
        <is>
          <t>PoC (W0)</t>
        </is>
      </c>
      <c r="B49" s="10" t="inlineStr">
        <is>
          <t>Supply + demand exist</t>
        </is>
      </c>
      <c r="C49" s="10" t="inlineStr">
        <is>
          <t>≥ 5 LOIs · supplier confirmed</t>
        </is>
      </c>
      <c r="D49" s="10" t="inlineStr">
        <is>
          <t>$0 — signal only</t>
        </is>
      </c>
      <c r="E49" s="10" t="inlineStr">
        <is>
          <t>GO / NO-GO to Design Sprint + MVP 1</t>
        </is>
      </c>
      <c r="F49" s="10" t="inlineStr">
        <is>
          <t>Pre-M0</t>
        </is>
      </c>
    </row>
    <row r="50">
      <c r="A50" s="18" t="inlineStr">
        <is>
          <t>Design Sprint</t>
        </is>
      </c>
      <c r="B50" s="18" t="inlineStr">
        <is>
          <t>FE can build in scope</t>
        </is>
      </c>
      <c r="C50" s="18" t="inlineStr">
        <is>
          <t>Figma sign-off in 2 weeks</t>
        </is>
      </c>
      <c r="D50" s="18" t="inlineStr">
        <is>
          <t>$0</t>
        </is>
      </c>
      <c r="E50" s="55" t="inlineStr">
        <is>
          <t>GO / scope reduction</t>
        </is>
      </c>
      <c r="F50" s="18" t="inlineStr">
        <is>
          <t>Pre-M0</t>
        </is>
      </c>
    </row>
    <row r="51">
      <c r="A51" s="10" t="inlineStr">
        <is>
          <t>MVP 1 (W3–W8)</t>
        </is>
      </c>
      <c r="B51" s="10" t="inlineStr">
        <is>
          <t>Schema works end-to-end</t>
        </is>
      </c>
      <c r="C51" s="10" t="inlineStr">
        <is>
          <t>≥ 88% auto-approve · FP &lt; 2%</t>
        </is>
      </c>
      <c r="D51" s="10" t="inlineStr">
        <is>
          <t>$0</t>
        </is>
      </c>
      <c r="E51" s="53" t="inlineStr">
        <is>
          <t>GO to MVP 2 / fix blocker</t>
        </is>
      </c>
      <c r="F51" s="10" t="inlineStr">
        <is>
          <t>Pre-M0</t>
        </is>
      </c>
    </row>
    <row r="52">
      <c r="A52" s="18" t="inlineStr">
        <is>
          <t>MVP 2 (W9–W16)</t>
        </is>
      </c>
      <c r="B52" s="18" t="inlineStr">
        <is>
          <t>Decorators self-onboard</t>
        </is>
      </c>
      <c r="C52" s="18" t="inlineStr">
        <is>
          <t>5 Dec · 150 valid listings</t>
        </is>
      </c>
      <c r="D52" s="18" t="inlineStr">
        <is>
          <t>$0 pre-launch</t>
        </is>
      </c>
      <c r="E52" s="55" t="inlineStr">
        <is>
          <t>GO to marketplace / pivot supply model</t>
        </is>
      </c>
      <c r="F52" s="18" t="inlineStr">
        <is>
          <t>Pre-M0</t>
        </is>
      </c>
    </row>
    <row r="53">
      <c r="A53" s="57" t="inlineStr">
        <is>
          <t>MVP 3 Month 1</t>
        </is>
      </c>
      <c r="B53" s="57" t="inlineStr">
        <is>
          <t>Merchant demand at target</t>
        </is>
      </c>
      <c r="C53" s="57" t="inlineStr">
        <is>
          <t>≥ 20 orders/SKU/month</t>
        </is>
      </c>
      <c r="D53" s="57" t="inlineStr">
        <is>
          <t>~$24K/mo (pilot)</t>
        </is>
      </c>
      <c r="E53" s="50" t="inlineStr">
        <is>
          <t>≥ 50 → scale · &lt; 15 at M2 → KILL</t>
        </is>
      </c>
      <c r="F53" s="57" t="inlineStr">
        <is>
          <t>Month 1</t>
        </is>
      </c>
    </row>
    <row r="54">
      <c r="A54" s="57" t="inlineStr">
        <is>
          <t>Month 2 Gate</t>
        </is>
      </c>
      <c r="B54" s="57" t="inlineStr">
        <is>
          <t>Kill/continue/scale decision</t>
        </is>
      </c>
      <c r="C54" s="57" t="inlineStr">
        <is>
          <t>≥ 20 orders/SKU (base sustained)</t>
        </is>
      </c>
      <c r="D54" s="57" t="inlineStr">
        <is>
          <t>$150K+/mo (base, full scale)</t>
        </is>
      </c>
      <c r="E54" s="50" t="inlineStr">
        <is>
          <t>FULL SCALE / KILL &lt; 15 → stop</t>
        </is>
      </c>
      <c r="F54" s="57" t="inlineStr">
        <is>
          <t>Month 2</t>
        </is>
      </c>
    </row>
    <row r="55">
      <c r="A55" s="10" t="inlineStr">
        <is>
          <t>Month 3</t>
        </is>
      </c>
      <c r="B55" s="10" t="inlineStr">
        <is>
          <t>Base case holds at scale</t>
        </is>
      </c>
      <c r="C55" s="10" t="inlineStr">
        <is>
          <t>≥ 20 orders/SKU sustained</t>
        </is>
      </c>
      <c r="D55" s="10" t="inlineStr">
        <is>
          <t>$150K+/month</t>
        </is>
      </c>
      <c r="E55" s="53" t="inlineStr">
        <is>
          <t>Full build GO / scope v2</t>
        </is>
      </c>
      <c r="F55" s="10" t="inlineStr">
        <is>
          <t>Month 3</t>
        </is>
      </c>
    </row>
  </sheetData>
  <mergeCells count="4">
    <mergeCell ref="A47:G47"/>
    <mergeCell ref="A3:G3"/>
    <mergeCell ref="A1:G1"/>
    <mergeCell ref="A12:G12"/>
  </mergeCells>
  <pageMargins left="0.75" right="0.75" top="1" bottom="1" header="0.5" footer="0.5"/>
  <drawing xmlns:r="http://schemas.openxmlformats.org/officeDocument/2006/relationships" r:id="rId1"/>
</worksheet>
</file>

<file path=xl/worksheets/sheet7.xml><?xml version="1.0" encoding="utf-8"?>
<worksheet xmlns="http://schemas.openxmlformats.org/spreadsheetml/2006/main">
  <sheetPr>
    <outlinePr summaryBelow="1" summaryRight="1"/>
    <pageSetUpPr/>
  </sheetPr>
  <dimension ref="A1:F32"/>
  <sheetViews>
    <sheetView showGridLines="0" workbookViewId="0">
      <pane ySplit="2" topLeftCell="A3" activePane="bottomLeft" state="frozen"/>
      <selection pane="bottomLeft" activeCell="A1" sqref="A1"/>
    </sheetView>
  </sheetViews>
  <sheetFormatPr baseColWidth="8" defaultRowHeight="15"/>
  <cols>
    <col width="16" customWidth="1" min="1" max="1"/>
    <col width="10" customWidth="1" min="2" max="2"/>
    <col width="36" customWidth="1" min="3" max="3"/>
    <col width="24" customWidth="1" min="4" max="4"/>
    <col width="18" customWidth="1" min="5" max="5"/>
    <col width="10" customWidth="1" min="6" max="6"/>
  </cols>
  <sheetData>
    <row r="1" ht="16" customHeight="1">
      <c r="A1" s="3" t="inlineStr">
        <is>
          <t>🛠️  Implementation Map — Technical &amp; Operational Requirements</t>
        </is>
      </c>
    </row>
    <row r="2" ht="5" customHeight="1"/>
    <row r="3" ht="16" customHeight="1">
      <c r="A3" s="3" t="inlineStr">
        <is>
          <t>1. Blueprint API Schema Extensions (10 new fields)</t>
        </is>
      </c>
    </row>
    <row r="4" ht="28" customHeight="1">
      <c r="A4" s="4" t="inlineStr">
        <is>
          <t>Field name</t>
        </is>
      </c>
      <c r="B4" s="4" t="inlineStr">
        <is>
          <t>Type</t>
        </is>
      </c>
      <c r="C4" s="4" t="inlineStr">
        <is>
          <t>Values / Format</t>
        </is>
      </c>
      <c r="D4" s="4" t="inlineStr">
        <is>
          <t>Phase</t>
        </is>
      </c>
      <c r="E4" s="4" t="inlineStr">
        <is>
          <t>Channel impact</t>
        </is>
      </c>
      <c r="F4" s="4" t="inlineStr">
        <is>
          <t>Risk / Note</t>
        </is>
      </c>
    </row>
    <row r="5">
      <c r="A5" s="9" t="inlineStr">
        <is>
          <t>material_tier</t>
        </is>
      </c>
      <c r="B5" s="10" t="inlineStr">
        <is>
          <t>enum</t>
        </is>
      </c>
      <c r="C5" s="10" t="inlineStr">
        <is>
          <t>full_grain / top_grain / split / bonded / pu / vegan</t>
        </is>
      </c>
      <c r="D5" s="10" t="inlineStr">
        <is>
          <t>MVP 1</t>
        </is>
      </c>
      <c r="E5" s="10" t="inlineStr">
        <is>
          <t>Etsy: material attr · Amazon: LeatherType node · Shopify: metafield</t>
        </is>
      </c>
      <c r="F5" s="54" t="inlineStr">
        <is>
          <t>FTC compliance anchors on this field</t>
        </is>
      </c>
    </row>
    <row r="6">
      <c r="A6" s="33" t="inlineStr">
        <is>
          <t>tannage_method</t>
        </is>
      </c>
      <c r="B6" s="18" t="inlineStr">
        <is>
          <t>enum</t>
        </is>
      </c>
      <c r="C6" s="18" t="inlineStr">
        <is>
          <t>vegetable / chrome / combination</t>
        </is>
      </c>
      <c r="D6" s="18" t="inlineStr">
        <is>
          <t>MVP 1</t>
        </is>
      </c>
      <c r="E6" s="18" t="inlineStr">
        <is>
          <t>Prop 65 trigger: chrome → auto-disclosure for CA / Amazon</t>
        </is>
      </c>
      <c r="F6" s="52" t="inlineStr">
        <is>
          <t>Legal sign-off required by W10</t>
        </is>
      </c>
    </row>
    <row r="7">
      <c r="A7" s="9" t="inlineStr">
        <is>
          <t>origin_country</t>
        </is>
      </c>
      <c r="B7" s="10" t="inlineStr">
        <is>
          <t>ISO 3166</t>
        </is>
      </c>
      <c r="C7" s="10" t="inlineStr">
        <is>
          <t>e.g. IT, US, MX</t>
        </is>
      </c>
      <c r="D7" s="10" t="inlineStr">
        <is>
          <t>MVP 1</t>
        </is>
      </c>
      <c r="E7" s="10" t="inlineStr">
        <is>
          <t>Amazon origin attribute · Etsy origin filter</t>
        </is>
      </c>
      <c r="F7" s="10" t="inlineStr"/>
    </row>
    <row r="8">
      <c r="A8" s="33" t="inlineStr">
        <is>
          <t>finish_type</t>
        </is>
      </c>
      <c r="B8" s="18" t="inlineStr">
        <is>
          <t>enum</t>
        </is>
      </c>
      <c r="C8" s="18" t="inlineStr">
        <is>
          <t>smooth / pebbled / suede / patent</t>
        </is>
      </c>
      <c r="D8" s="18" t="inlineStr">
        <is>
          <t>MVP 1</t>
        </is>
      </c>
      <c r="E8" s="18" t="inlineStr">
        <is>
          <t>Mockup engine texture selector</t>
        </is>
      </c>
      <c r="F8" s="18" t="inlineStr"/>
    </row>
    <row r="9">
      <c r="A9" s="9" t="inlineStr">
        <is>
          <t>thickness_mm</t>
        </is>
      </c>
      <c r="B9" s="10" t="inlineStr">
        <is>
          <t>float</t>
        </is>
      </c>
      <c r="C9" s="10" t="inlineStr">
        <is>
          <t>≥ 0.8mm wallets · ≥ 1.2mm bags · ≥ 2.0mm belts</t>
        </is>
      </c>
      <c r="D9" s="10" t="inlineStr">
        <is>
          <t>MVP 1</t>
        </is>
      </c>
      <c r="E9" s="10" t="inlineStr">
        <is>
          <t>Quality tier display on PDP</t>
        </is>
      </c>
      <c r="F9" s="10" t="inlineStr"/>
    </row>
    <row r="10">
      <c r="A10" s="33" t="inlineStr">
        <is>
          <t>prop_65_compliant</t>
        </is>
      </c>
      <c r="B10" s="18" t="inlineStr">
        <is>
          <t>boolean</t>
        </is>
      </c>
      <c r="C10" s="18" t="inlineStr">
        <is>
          <t>true / false — required for CA sales &amp; Amazon USA</t>
        </is>
      </c>
      <c r="D10" s="18" t="inlineStr">
        <is>
          <t>MVP 1</t>
        </is>
      </c>
      <c r="E10" s="18" t="inlineStr">
        <is>
          <t>Amazon: Prop 65 disclosure auto-populated via SP-API</t>
        </is>
      </c>
      <c r="F10" s="52" t="inlineStr">
        <is>
          <t>false = block listing on Amazon channel</t>
        </is>
      </c>
    </row>
    <row r="11">
      <c r="A11" s="9" t="inlineStr">
        <is>
          <t>laser_engraving_area</t>
        </is>
      </c>
      <c r="B11" s="10" t="inlineStr">
        <is>
          <t>object</t>
        </is>
      </c>
      <c r="C11" s="10" t="inlineStr">
        <is>
          <t>{width_mm: float, height_mm: float}</t>
        </is>
      </c>
      <c r="D11" s="10" t="inlineStr">
        <is>
          <t>MVP 1</t>
        </is>
      </c>
      <c r="E11" s="10" t="inlineStr">
        <is>
          <t>Decoration method selector + mockup overlay</t>
        </is>
      </c>
      <c r="F11" s="54" t="inlineStr">
        <is>
          <t>API enum: add laser_engraving + debossing</t>
        </is>
      </c>
    </row>
    <row r="12">
      <c r="A12" s="110" t="inlineStr">
        <is>
          <t>lwg_grade</t>
        </is>
      </c>
      <c r="B12" s="47" t="inlineStr">
        <is>
          <t>enum</t>
        </is>
      </c>
      <c r="C12" s="47" t="inlineStr">
        <is>
          <t>gold / silver / bronze</t>
        </is>
      </c>
      <c r="D12" s="47" t="inlineStr">
        <is>
          <t>V2</t>
        </is>
      </c>
      <c r="E12" s="47" t="inlineStr">
        <is>
          <t>ECO badge on PDP · sustainability filter</t>
        </is>
      </c>
      <c r="F12" s="47" t="inlineStr">
        <is>
          <t>Requires supplier LWG cert verification</t>
        </is>
      </c>
    </row>
    <row r="13">
      <c r="A13" s="111" t="inlineStr">
        <is>
          <t>oeko_tex_cert_id</t>
        </is>
      </c>
      <c r="B13" s="51" t="inlineStr">
        <is>
          <t>string</t>
        </is>
      </c>
      <c r="C13" s="51" t="inlineStr">
        <is>
          <t>Certificate ID or null</t>
        </is>
      </c>
      <c r="D13" s="51" t="inlineStr">
        <is>
          <t>V2</t>
        </is>
      </c>
      <c r="E13" s="51" t="inlineStr">
        <is>
          <t>ECO badge · compliance export</t>
        </is>
      </c>
      <c r="F13" s="51" t="inlineStr"/>
    </row>
    <row r="14">
      <c r="A14" s="110" t="inlineStr">
        <is>
          <t>reach_cr_vi_compliant</t>
        </is>
      </c>
      <c r="B14" s="47" t="inlineStr">
        <is>
          <t>boolean</t>
        </is>
      </c>
      <c r="C14" s="47" t="inlineStr">
        <is>
          <t>Chrome-tanned leather only</t>
        </is>
      </c>
      <c r="D14" s="47" t="inlineStr">
        <is>
          <t>V2</t>
        </is>
      </c>
      <c r="E14" s="47" t="inlineStr">
        <is>
          <t>EU channel compliance</t>
        </is>
      </c>
      <c r="F14" s="47" t="inlineStr"/>
    </row>
    <row r="16" ht="5" customHeight="1"/>
    <row r="17" ht="16" customHeight="1">
      <c r="A17" s="3" t="inlineStr">
        <is>
          <t>2. Native AI Agents</t>
        </is>
      </c>
    </row>
    <row r="18" ht="28" customHeight="1">
      <c r="A18" s="4" t="inlineStr">
        <is>
          <t>Agent</t>
        </is>
      </c>
      <c r="B18" s="4" t="inlineStr">
        <is>
          <t>MVP</t>
        </is>
      </c>
      <c r="C18" s="4" t="inlineStr">
        <is>
          <t>Trigger</t>
        </is>
      </c>
      <c r="D18" s="4" t="inlineStr">
        <is>
          <t>What it does</t>
        </is>
      </c>
      <c r="E18" s="4" t="inlineStr">
        <is>
          <t>Success metric</t>
        </is>
      </c>
      <c r="F18" s="4" t="inlineStr">
        <is>
          <t>Failure mode</t>
        </is>
      </c>
    </row>
    <row r="19" ht="56" customHeight="1">
      <c r="A19" s="9" t="inlineStr">
        <is>
          <t>MAT-001 FTC Classifier</t>
        </is>
      </c>
      <c r="B19" s="10" t="inlineStr">
        <is>
          <t>MVP 1</t>
        </is>
      </c>
      <c r="C19" s="10" t="inlineStr">
        <is>
          <t>Blueprint ingestion — fires on every new leather listing submission</t>
        </is>
      </c>
      <c r="D19" s="10" t="inlineStr">
        <is>
          <t>LLM evaluates listing title + material_tier + description. Detects PU/Bonded labeled "Genuine Leather". Auto-rejects non-compliant with corrected label requirement. Zero ops intervention.</t>
        </is>
      </c>
      <c r="E19" s="10" t="inlineStr">
        <is>
          <t>Auto-approve ≥ 88% · FP rate &lt; 2%</t>
        </is>
      </c>
      <c r="F19" s="54" t="inlineStr">
        <is>
          <t>FP &gt; 2%: legitimate Decorators blocked → churn · FN: PU reaches catalog → FTC risk</t>
        </is>
      </c>
    </row>
    <row r="20" ht="56" customHeight="1">
      <c r="A20" s="33" t="inlineStr">
        <is>
          <t>Field-Assist Agent</t>
        </is>
      </c>
      <c r="B20" s="18" t="inlineStr">
        <is>
          <t>MVP 2</t>
        </is>
      </c>
      <c r="C20" s="18" t="inlineStr">
        <is>
          <t>Decorator opens new blueprint form — fires when product name + supplier entered</t>
        </is>
      </c>
      <c r="D20" s="18" t="inlineStr">
        <is>
          <t>Reads product name + supplier data sheet (PDF/URL). Pre-fills material_tier, tannage_method, finish_type. Decorator reviews and confirms — does not auto-submit.</t>
        </is>
      </c>
      <c r="E20" s="18" t="inlineStr">
        <is>
          <t>Form error rate &lt; 10% · Onboarding &lt; 24h</t>
        </is>
      </c>
      <c r="F20" s="52" t="inlineStr">
        <is>
          <t>Wrong pre-fill: Decorator trusts it → incorrect material_tier → MAT-001 reject loop</t>
        </is>
      </c>
    </row>
    <row r="22" ht="5" customHeight="1"/>
    <row r="23" ht="16" customHeight="1">
      <c r="A23" s="3" t="inlineStr">
        <is>
          <t>3. Channel Integrations (MVP 3 · W17–W24)</t>
        </is>
      </c>
    </row>
    <row r="24" ht="28" customHeight="1">
      <c r="A24" s="4" t="inlineStr">
        <is>
          <t>Channel</t>
        </is>
      </c>
      <c r="B24" s="4" t="inlineStr">
        <is>
          <t>Weeks</t>
        </is>
      </c>
      <c r="C24" s="4" t="inlineStr">
        <is>
          <t>Fields mapped</t>
        </is>
      </c>
      <c r="D24" s="4" t="inlineStr">
        <is>
          <t>Compliance requirement</t>
        </is>
      </c>
      <c r="E24" s="4" t="inlineStr">
        <is>
          <t>Risk</t>
        </is>
      </c>
      <c r="F24" s="4" t="inlineStr">
        <is>
          <t>Priority</t>
        </is>
      </c>
    </row>
    <row r="25">
      <c r="A25" s="9" t="inlineStr">
        <is>
          <t>Shopify</t>
        </is>
      </c>
      <c r="B25" s="10" t="inlineStr">
        <is>
          <t>W17–18</t>
        </is>
      </c>
      <c r="C25" s="10" t="inlineStr">
        <is>
          <t>material_tier → metafield · tannage_method → metafield · ECO badge</t>
        </is>
      </c>
      <c r="D25" s="10" t="inlineStr">
        <is>
          <t>None special</t>
        </is>
      </c>
      <c r="E25" s="10" t="inlineStr"/>
      <c r="F25" s="10" t="inlineStr">
        <is>
          <t>P0</t>
        </is>
      </c>
    </row>
    <row r="26">
      <c r="A26" s="33" t="inlineStr">
        <is>
          <t>Etsy</t>
        </is>
      </c>
      <c r="B26" s="18" t="inlineStr">
        <is>
          <t>W17–18</t>
        </is>
      </c>
      <c r="C26" s="18" t="inlineStr">
        <is>
          <t>material_tier → material attribute · handmade_type auto-mapped</t>
        </is>
      </c>
      <c r="D26" s="18" t="inlineStr">
        <is>
          <t>None special</t>
        </is>
      </c>
      <c r="E26" s="18" t="inlineStr"/>
      <c r="F26" s="18" t="inlineStr">
        <is>
          <t>P0</t>
        </is>
      </c>
    </row>
    <row r="27">
      <c r="A27" s="56" t="inlineStr">
        <is>
          <t>Amazon USA</t>
        </is>
      </c>
      <c r="B27" s="57" t="inlineStr">
        <is>
          <t>W19–22</t>
        </is>
      </c>
      <c r="C27" s="57" t="inlineStr">
        <is>
          <t>material_tier → LeatherType node · prop_65_compliant → Prop 65 auto-disclosure · chrome → mandatory disclosure</t>
        </is>
      </c>
      <c r="D27" s="57" t="inlineStr">
        <is>
          <t>SP-API approval + Prop 65 legal sign-off by W10</t>
        </is>
      </c>
      <c r="E27" s="50" t="inlineStr">
        <is>
          <t>⚠ SP-API approval 2–4w — apply W10</t>
        </is>
      </c>
      <c r="F27" s="57" t="inlineStr">
        <is>
          <t>P0</t>
        </is>
      </c>
    </row>
    <row r="28">
      <c r="A28" s="33" t="inlineStr">
        <is>
          <t>WooCommerce</t>
        </is>
      </c>
      <c r="B28" s="18" t="inlineStr">
        <is>
          <t>W23–24</t>
        </is>
      </c>
      <c r="C28" s="18" t="inlineStr">
        <is>
          <t>material_tier + compliance fields → WC product attributes</t>
        </is>
      </c>
      <c r="D28" s="18" t="inlineStr">
        <is>
          <t>None special</t>
        </is>
      </c>
      <c r="E28" s="18" t="inlineStr"/>
      <c r="F28" s="18" t="inlineStr">
        <is>
          <t>P1</t>
        </is>
      </c>
    </row>
    <row r="29">
      <c r="A29" s="111" t="inlineStr">
        <is>
          <t>TikTok Shop</t>
        </is>
      </c>
      <c r="B29" s="51" t="inlineStr">
        <is>
          <t>V2</t>
        </is>
      </c>
      <c r="C29" s="51" t="inlineStr">
        <is>
          <t>Manual disclosure (no API support for leather type yet)</t>
        </is>
      </c>
      <c r="D29" s="51" t="inlineStr">
        <is>
          <t>Manual Prop 65 for CA sellers</t>
        </is>
      </c>
      <c r="E29" s="51" t="inlineStr"/>
      <c r="F29" s="51" t="inlineStr">
        <is>
          <t>P2</t>
        </is>
      </c>
    </row>
    <row r="30">
      <c r="A30" s="110" t="inlineStr">
        <is>
          <t>PrestaShop</t>
        </is>
      </c>
      <c r="B30" s="47" t="inlineStr">
        <is>
          <t>V2</t>
        </is>
      </c>
      <c r="C30" s="47" t="inlineStr">
        <is>
          <t>Custom module (WC plugin base)</t>
        </is>
      </c>
      <c r="D30" s="47" t="inlineStr">
        <is>
          <t>None special</t>
        </is>
      </c>
      <c r="E30" s="47" t="inlineStr"/>
      <c r="F30" s="47" t="inlineStr">
        <is>
          <t>P2</t>
        </is>
      </c>
    </row>
    <row r="32" ht="24" customHeight="1">
      <c r="A32" s="34" t="inlineStr">
        <is>
          <t>Amazon is the highest-risk integration: SP-API application must start W10 (2–4w approval) and Prop 65 legal sign-off needed before W19 go-live. PrestaShop and TikTok Shop deferred to V2 — low USA volume relative to Shopify/Etsy/Amazon.</t>
        </is>
      </c>
    </row>
  </sheetData>
  <mergeCells count="5">
    <mergeCell ref="A1:F1"/>
    <mergeCell ref="A23:F23"/>
    <mergeCell ref="A32:F32"/>
    <mergeCell ref="A17:F17"/>
    <mergeCell ref="A3:F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2026-08-19T15:16:13Z</dcterms:created>
  <dcterms:modified xmlns:dcterms="http://purl.org/dc/terms/" xmlns:xsi="http://www.w3.org/2001/XMLSchema-instance" xsi:type="dcterms:W3CDTF">2026-08-19T15:16:13Z</dcterms:modified>
</cp:coreProperties>
</file>