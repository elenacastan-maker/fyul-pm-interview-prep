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rket Sizing (TAM·SAM·SOM)" sheetId="1" state="visible" r:id="rId1"/>
    <sheet xmlns:r="http://schemas.openxmlformats.org/officeDocument/2006/relationships" name="OKRs &amp; KPIs" sheetId="2" state="visible" r:id="rId2"/>
    <sheet xmlns:r="http://schemas.openxmlformats.org/officeDocument/2006/relationships" name="Proxy Data &amp; Metrics" sheetId="3" state="visible" r:id="rId3"/>
    <sheet xmlns:r="http://schemas.openxmlformats.org/officeDocument/2006/relationships" name="Business Case" sheetId="4" state="visible" r:id="rId4"/>
    <sheet xmlns:r="http://schemas.openxmlformats.org/officeDocument/2006/relationships" name="Competitor Benchmark" sheetId="5" state="visible" r:id="rId5"/>
    <sheet xmlns:r="http://schemas.openxmlformats.org/officeDocument/2006/relationships" name="Roadmap" sheetId="6" state="visible" r:id="rId6"/>
    <sheet xmlns:r="http://schemas.openxmlformats.org/officeDocument/2006/relationships" name="Implementation Map" sheetId="7" state="visible" r:id="rId7"/>
    <sheet xmlns:r="http://schemas.openxmlformats.org/officeDocument/2006/relationships" name="References" sheetId="8" state="visible" r:id="rId8"/>
    <sheet xmlns:r="http://schemas.openxmlformats.org/officeDocument/2006/relationships" name="Glossary" sheetId="9" state="visible" r:id="rId9"/>
  </sheets>
  <definedNames/>
  <calcPr calcId="124519" fullCalcOnLoad="1"/>
</workbook>
</file>

<file path=xl/styles.xml><?xml version="1.0" encoding="utf-8"?>
<styleSheet xmlns="http://schemas.openxmlformats.org/spreadsheetml/2006/main">
  <numFmts count="2">
    <numFmt numFmtId="164" formatCode="&quot;$&quot;#,##0"/>
    <numFmt numFmtId="165" formatCode="&quot;$&quot;#,##0&quot;K&quot;"/>
  </numFmts>
  <fonts count="19">
    <font>
      <name val="Calibri"/>
      <family val="2"/>
      <color theme="1"/>
      <sz val="11"/>
      <scheme val="minor"/>
    </font>
    <font>
      <name val="Calibri"/>
      <b val="1"/>
      <color rgb="001A1A1A"/>
      <sz val="14"/>
    </font>
    <font>
      <name val="Calibri"/>
      <i val="1"/>
      <color rgb="00666666"/>
      <sz val="9"/>
    </font>
    <font>
      <name val="Calibri"/>
      <b val="1"/>
      <color rgb="002B5A18"/>
      <sz val="10"/>
    </font>
    <font>
      <name val="Calibri"/>
      <b val="1"/>
      <color rgb="001A1A1A"/>
      <sz val="9"/>
    </font>
    <font>
      <name val="Calibri"/>
      <color rgb="001A1A1A"/>
      <sz val="9"/>
    </font>
    <font>
      <name val="Calibri"/>
      <color rgb="00666666"/>
      <sz val="9"/>
    </font>
    <font>
      <name val="Calibri"/>
      <b val="1"/>
      <color rgb="001D6B0F"/>
      <sz val="9"/>
    </font>
    <font>
      <name val="Calibri"/>
      <b val="1"/>
      <color rgb="00666666"/>
      <sz val="9"/>
    </font>
    <font>
      <name val="Calibri"/>
      <color rgb="001D6B0F"/>
      <sz val="9"/>
    </font>
    <font>
      <name val="Calibri"/>
      <i val="1"/>
      <color rgb="00666666"/>
      <sz val="8"/>
    </font>
    <font>
      <name val="Calibri"/>
      <b val="1"/>
      <color rgb="002B5A18"/>
      <sz val="9"/>
    </font>
    <font>
      <name val="Calibri"/>
      <i val="1"/>
      <color rgb="00B45309"/>
      <sz val="9"/>
    </font>
    <font>
      <name val="Calibri"/>
      <color rgb="00B45309"/>
      <sz val="9"/>
    </font>
    <font>
      <name val="Calibri"/>
      <color rgb="002B5A18"/>
      <sz val="9"/>
      <u val="single"/>
    </font>
    <font>
      <name val="Calibri"/>
      <i val="1"/>
      <color rgb="002B5A18"/>
      <sz val="10"/>
    </font>
    <font>
      <name val="Calibri"/>
      <b val="1"/>
      <color rgb="00B45309"/>
      <sz val="9"/>
    </font>
    <font>
      <name val="Calibri"/>
      <b val="1"/>
      <color rgb="001A1A1A"/>
      <sz val="7"/>
    </font>
    <font>
      <name val="Calibri"/>
      <b val="1"/>
      <i val="1"/>
      <color rgb="00666666"/>
      <sz val="9"/>
    </font>
  </fonts>
  <fills count="12">
    <fill>
      <patternFill/>
    </fill>
    <fill>
      <patternFill patternType="gray125"/>
    </fill>
    <fill>
      <patternFill patternType="solid">
        <fgColor rgb="00FFFFFF"/>
      </patternFill>
    </fill>
    <fill>
      <patternFill patternType="solid">
        <fgColor rgb="00F4F4F4"/>
      </patternFill>
    </fill>
    <fill>
      <patternFill patternType="solid">
        <fgColor rgb="00EBEBEB"/>
      </patternFill>
    </fill>
    <fill>
      <patternFill patternType="solid">
        <fgColor rgb="00F8FAF6"/>
      </patternFill>
    </fill>
    <fill>
      <patternFill patternType="solid">
        <fgColor rgb="00FEF3C7"/>
      </patternFill>
    </fill>
    <fill>
      <patternFill patternType="solid">
        <fgColor rgb="00AAAAAA"/>
      </patternFill>
    </fill>
    <fill>
      <patternFill patternType="solid">
        <fgColor rgb="009A6B1A"/>
      </patternFill>
    </fill>
    <fill>
      <patternFill patternType="solid">
        <fgColor rgb="002C5280"/>
      </patternFill>
    </fill>
    <fill>
      <patternFill patternType="solid">
        <fgColor rgb="00B45309"/>
      </patternFill>
    </fill>
    <fill>
      <patternFill patternType="solid">
        <fgColor rgb="001D6B0F"/>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97">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2" borderId="0" applyAlignment="1" pivotButton="0" quotePrefix="0" xfId="0">
      <alignment horizontal="left" vertical="center" indent="1"/>
    </xf>
    <xf numFmtId="0" fontId="4" fillId="2" borderId="1" applyAlignment="1" pivotButton="0" quotePrefix="0" xfId="0">
      <alignment horizontal="center" vertical="center" wrapText="1"/>
    </xf>
    <xf numFmtId="0" fontId="4" fillId="2" borderId="1" applyAlignment="1" pivotButton="0" quotePrefix="0" xfId="0">
      <alignment horizontal="left" vertical="center" wrapText="1"/>
    </xf>
    <xf numFmtId="0" fontId="5" fillId="2" borderId="1" applyAlignment="1" pivotButton="0" quotePrefix="0" xfId="0">
      <alignment horizontal="left" vertical="center" wrapText="1"/>
    </xf>
    <xf numFmtId="0" fontId="6" fillId="2" borderId="1" applyAlignment="1" pivotButton="0" quotePrefix="0" xfId="0">
      <alignment horizontal="center" vertical="center" wrapText="1"/>
    </xf>
    <xf numFmtId="0" fontId="6" fillId="2" borderId="1" applyAlignment="1" pivotButton="0" quotePrefix="0" xfId="0">
      <alignment horizontal="left" vertical="center" wrapText="1"/>
    </xf>
    <xf numFmtId="0" fontId="4" fillId="3" borderId="1" applyAlignment="1" pivotButton="0" quotePrefix="0" xfId="0">
      <alignment horizontal="left" vertical="center" wrapText="1"/>
    </xf>
    <xf numFmtId="0" fontId="5" fillId="3" borderId="1" applyAlignment="1" pivotButton="0" quotePrefix="0" xfId="0">
      <alignment horizontal="left" vertical="center" wrapText="1"/>
    </xf>
    <xf numFmtId="0" fontId="6" fillId="3" borderId="1"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5" fillId="4" borderId="1" applyAlignment="1" pivotButton="0" quotePrefix="0" xfId="0">
      <alignment horizontal="left" vertical="center" wrapText="1"/>
    </xf>
    <xf numFmtId="0" fontId="7" fillId="4" borderId="1" applyAlignment="1" pivotButton="0" quotePrefix="0" xfId="0">
      <alignment horizontal="center" vertical="center" wrapText="1"/>
    </xf>
    <xf numFmtId="0" fontId="6" fillId="4" borderId="1" applyAlignment="1" pivotButton="0" quotePrefix="0" xfId="0">
      <alignment horizontal="left" vertical="center" wrapText="1"/>
    </xf>
    <xf numFmtId="0" fontId="8" fillId="2" borderId="1" applyAlignment="1" pivotButton="0" quotePrefix="0" xfId="0">
      <alignment horizontal="left" vertical="center" wrapText="1"/>
    </xf>
    <xf numFmtId="0" fontId="7"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8" fillId="3" borderId="1" applyAlignment="1" pivotButton="0" quotePrefix="0" xfId="0">
      <alignment horizontal="left" vertical="center" wrapText="1"/>
    </xf>
    <xf numFmtId="0" fontId="7" fillId="3" borderId="1" applyAlignment="1" pivotButton="0" quotePrefix="0" xfId="0">
      <alignment horizontal="center" vertical="center" wrapText="1"/>
    </xf>
    <xf numFmtId="0" fontId="4" fillId="2" borderId="1" applyAlignment="1" pivotButton="0" quotePrefix="0" xfId="0">
      <alignment horizontal="right" vertical="center" wrapText="1"/>
    </xf>
    <xf numFmtId="0" fontId="4" fillId="3" borderId="1" applyAlignment="1" pivotButton="0" quotePrefix="0" xfId="0">
      <alignment horizontal="center" vertical="center" wrapText="1"/>
    </xf>
    <xf numFmtId="0" fontId="4" fillId="3" borderId="1" applyAlignment="1" pivotButton="0" quotePrefix="0" xfId="0">
      <alignment horizontal="right" vertical="center" wrapText="1"/>
    </xf>
    <xf numFmtId="0" fontId="7" fillId="4" borderId="1" applyAlignment="1" pivotButton="0" quotePrefix="0" xfId="0">
      <alignment horizontal="right" vertical="center" wrapText="1"/>
    </xf>
    <xf numFmtId="0" fontId="6" fillId="4" borderId="1" applyAlignment="1" pivotButton="0" quotePrefix="0" xfId="0">
      <alignment horizontal="center" vertical="center" wrapText="1"/>
    </xf>
    <xf numFmtId="0" fontId="7" fillId="2" borderId="1" applyAlignment="1" pivotButton="0" quotePrefix="0" xfId="0">
      <alignment horizontal="right" vertical="center" wrapText="1"/>
    </xf>
    <xf numFmtId="0" fontId="7" fillId="3" borderId="1" applyAlignment="1" pivotButton="0" quotePrefix="0" xfId="0">
      <alignment horizontal="right" vertical="center" wrapText="1"/>
    </xf>
    <xf numFmtId="0" fontId="10" fillId="0" borderId="0" applyAlignment="1" pivotButton="0" quotePrefix="0" xfId="0">
      <alignment vertical="center" wrapText="1"/>
    </xf>
    <xf numFmtId="0" fontId="5" fillId="5" borderId="1" applyAlignment="1" pivotButton="0" quotePrefix="0" xfId="0">
      <alignment vertical="center" wrapText="1"/>
    </xf>
    <xf numFmtId="0" fontId="0" fillId="0" borderId="4" pivotButton="0" quotePrefix="0" xfId="0"/>
    <xf numFmtId="0" fontId="0" fillId="0" borderId="5" pivotButton="0" quotePrefix="0" xfId="0"/>
    <xf numFmtId="0" fontId="11" fillId="3" borderId="1" applyAlignment="1" pivotButton="0" quotePrefix="0" xfId="0">
      <alignment horizontal="left" vertical="center" wrapText="1"/>
    </xf>
    <xf numFmtId="0" fontId="12" fillId="3" borderId="1" applyAlignment="1" pivotButton="0" quotePrefix="0" xfId="0">
      <alignment horizontal="left" vertical="center" wrapText="1"/>
    </xf>
    <xf numFmtId="0" fontId="2" fillId="3" borderId="1" applyAlignment="1" pivotButton="0" quotePrefix="0" xfId="0">
      <alignment horizontal="left" vertical="center" wrapText="1"/>
    </xf>
    <xf numFmtId="0" fontId="11" fillId="2" borderId="1" applyAlignment="1" pivotButton="0" quotePrefix="0" xfId="0">
      <alignment horizontal="left" vertical="center" wrapText="1"/>
    </xf>
    <xf numFmtId="0" fontId="12" fillId="2" borderId="1" applyAlignment="1" pivotButton="0" quotePrefix="0" xfId="0">
      <alignment horizontal="left" vertical="center" wrapText="1"/>
    </xf>
    <xf numFmtId="0" fontId="2" fillId="2" borderId="1" applyAlignment="1" pivotButton="0" quotePrefix="0" xfId="0">
      <alignment horizontal="left" vertical="center" wrapText="1"/>
    </xf>
    <xf numFmtId="0" fontId="9" fillId="3" borderId="1" applyAlignment="1" pivotButton="0" quotePrefix="0" xfId="0">
      <alignment horizontal="center" vertical="center" wrapText="1"/>
    </xf>
    <xf numFmtId="0" fontId="13" fillId="6" borderId="1" applyAlignment="1" pivotButton="0" quotePrefix="0" xfId="0">
      <alignment horizontal="left" vertical="center" wrapText="1"/>
    </xf>
    <xf numFmtId="0" fontId="13" fillId="2" borderId="1" applyAlignment="1" pivotButton="0" quotePrefix="0" xfId="0">
      <alignment horizontal="left" vertical="center" wrapText="1"/>
    </xf>
    <xf numFmtId="0" fontId="9" fillId="3"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2" borderId="1" applyAlignment="1" pivotButton="0" quotePrefix="0" xfId="0">
      <alignment horizontal="left" vertical="center" wrapText="1"/>
    </xf>
    <xf numFmtId="0" fontId="4" fillId="6" borderId="1" applyAlignment="1" pivotButton="0" quotePrefix="0" xfId="0">
      <alignment horizontal="left" vertical="center" wrapText="1"/>
    </xf>
    <xf numFmtId="0" fontId="5" fillId="6" borderId="1" applyAlignment="1" pivotButton="0" quotePrefix="0" xfId="0">
      <alignment horizontal="left" vertical="center" wrapText="1"/>
    </xf>
    <xf numFmtId="0" fontId="9" fillId="6" borderId="1" applyAlignment="1" pivotButton="0" quotePrefix="0" xfId="0">
      <alignment horizontal="left" vertical="center" wrapText="1"/>
    </xf>
    <xf numFmtId="0" fontId="14" fillId="3" borderId="1" applyAlignment="1" pivotButton="0" quotePrefix="0" xfId="0">
      <alignment vertical="center" wrapText="1"/>
    </xf>
    <xf numFmtId="0" fontId="14" fillId="2" borderId="1" applyAlignment="1" pivotButton="0" quotePrefix="0" xfId="0">
      <alignment vertical="center" wrapText="1"/>
    </xf>
    <xf numFmtId="0" fontId="2" fillId="3" borderId="1" applyAlignment="1" pivotButton="0" quotePrefix="0" xfId="0">
      <alignment vertical="center" wrapText="1"/>
    </xf>
    <xf numFmtId="0" fontId="2" fillId="2" borderId="1" applyAlignment="1" pivotButton="0" quotePrefix="0" xfId="0">
      <alignment vertical="center" wrapText="1"/>
    </xf>
    <xf numFmtId="0" fontId="15" fillId="3" borderId="1" applyAlignment="1" pivotButton="0" quotePrefix="0" xfId="0">
      <alignmen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5" fillId="5" borderId="1" applyAlignment="1" pivotButton="0" quotePrefix="0" xfId="0">
      <alignment vertical="top" wrapText="1"/>
    </xf>
    <xf numFmtId="0" fontId="16" fillId="6" borderId="1" applyAlignment="1" pivotButton="0" quotePrefix="0" xfId="0">
      <alignment horizontal="left" vertical="center" wrapText="1"/>
    </xf>
    <xf numFmtId="0" fontId="13" fillId="6" borderId="1" applyAlignment="1" pivotButton="0" quotePrefix="0" xfId="0">
      <alignment horizontal="center" vertical="center" wrapText="1"/>
    </xf>
    <xf numFmtId="164" fontId="13" fillId="6" borderId="1" applyAlignment="1" pivotButton="0" quotePrefix="0" xfId="0">
      <alignment horizontal="right" vertical="center" wrapText="1"/>
    </xf>
    <xf numFmtId="0" fontId="2" fillId="6" borderId="1" applyAlignment="1" pivotButton="0" quotePrefix="0" xfId="0">
      <alignment horizontal="left" vertical="center" wrapText="1"/>
    </xf>
    <xf numFmtId="0" fontId="5" fillId="2" borderId="1" applyAlignment="1" pivotButton="0" quotePrefix="0" xfId="0">
      <alignment horizontal="center" vertical="center" wrapText="1"/>
    </xf>
    <xf numFmtId="164" fontId="5" fillId="2" borderId="1" applyAlignment="1" pivotButton="0" quotePrefix="0" xfId="0">
      <alignment horizontal="right" vertical="center" wrapText="1"/>
    </xf>
    <xf numFmtId="164" fontId="9" fillId="3" borderId="1" applyAlignment="1" pivotButton="0" quotePrefix="0" xfId="0">
      <alignment horizontal="right" vertical="center" wrapText="1"/>
    </xf>
    <xf numFmtId="165" fontId="5" fillId="3" borderId="1" applyAlignment="1" pivotButton="0" quotePrefix="0" xfId="0">
      <alignment horizontal="left" vertical="center" wrapText="1"/>
    </xf>
    <xf numFmtId="165" fontId="9" fillId="3" borderId="1" applyAlignment="1" pivotButton="0" quotePrefix="0" xfId="0">
      <alignment horizontal="left" vertical="center" wrapText="1"/>
    </xf>
    <xf numFmtId="165" fontId="13" fillId="3" borderId="1" applyAlignment="1" pivotButton="0" quotePrefix="0" xfId="0">
      <alignment horizontal="left" vertical="center" wrapText="1"/>
    </xf>
    <xf numFmtId="165" fontId="5" fillId="2" borderId="1" applyAlignment="1" pivotButton="0" quotePrefix="0" xfId="0">
      <alignment horizontal="left" vertical="center" wrapText="1"/>
    </xf>
    <xf numFmtId="165" fontId="9" fillId="2" borderId="1" applyAlignment="1" pivotButton="0" quotePrefix="0" xfId="0">
      <alignment horizontal="left" vertical="center" wrapText="1"/>
    </xf>
    <xf numFmtId="165" fontId="13" fillId="2" borderId="1" applyAlignment="1" pivotButton="0" quotePrefix="0" xfId="0">
      <alignment horizontal="left" vertical="center" wrapText="1"/>
    </xf>
    <xf numFmtId="165" fontId="5" fillId="6" borderId="1" applyAlignment="1" pivotButton="0" quotePrefix="0" xfId="0">
      <alignment horizontal="left" vertical="center" wrapText="1"/>
    </xf>
    <xf numFmtId="165" fontId="9" fillId="6" borderId="1" applyAlignment="1" pivotButton="0" quotePrefix="0" xfId="0">
      <alignment horizontal="left" vertical="center" wrapText="1"/>
    </xf>
    <xf numFmtId="165" fontId="13" fillId="6" borderId="1" applyAlignment="1" pivotButton="0" quotePrefix="0" xfId="0">
      <alignment horizontal="left" vertical="center" wrapText="1"/>
    </xf>
    <xf numFmtId="165" fontId="13" fillId="3" borderId="1" applyAlignment="1" pivotButton="0" quotePrefix="0" xfId="0">
      <alignment horizontal="right" vertical="center" wrapText="1"/>
    </xf>
    <xf numFmtId="165" fontId="5" fillId="3" borderId="1" applyAlignment="1" pivotButton="0" quotePrefix="0" xfId="0">
      <alignment horizontal="right" vertical="center" wrapText="1"/>
    </xf>
    <xf numFmtId="165" fontId="9" fillId="3" borderId="1" applyAlignment="1" pivotButton="0" quotePrefix="0" xfId="0">
      <alignment horizontal="right" vertical="center" wrapText="1"/>
    </xf>
    <xf numFmtId="165" fontId="13" fillId="6" borderId="1" applyAlignment="1" pivotButton="0" quotePrefix="0" xfId="0">
      <alignment horizontal="right" vertical="center" wrapText="1"/>
    </xf>
    <xf numFmtId="165" fontId="9" fillId="4" borderId="1" applyAlignment="1" pivotButton="0" quotePrefix="0" xfId="0">
      <alignment horizontal="right" vertical="center" wrapText="1"/>
    </xf>
    <xf numFmtId="165" fontId="13" fillId="2" borderId="1" applyAlignment="1" pivotButton="0" quotePrefix="0" xfId="0">
      <alignment horizontal="right" vertical="center" wrapText="1"/>
    </xf>
    <xf numFmtId="165" fontId="5" fillId="2" borderId="1" applyAlignment="1" pivotButton="0" quotePrefix="0" xfId="0">
      <alignment horizontal="right" vertical="center" wrapText="1"/>
    </xf>
    <xf numFmtId="165" fontId="9" fillId="2" borderId="1" applyAlignment="1" pivotButton="0" quotePrefix="0" xfId="0">
      <alignment horizontal="right" vertical="center" wrapText="1"/>
    </xf>
    <xf numFmtId="0" fontId="13" fillId="3" borderId="1" applyAlignment="1" pivotButton="0" quotePrefix="0" xfId="0">
      <alignment horizontal="center" vertical="center" wrapText="1"/>
    </xf>
    <xf numFmtId="0" fontId="13" fillId="2" borderId="1" applyAlignment="1" pivotButton="0" quotePrefix="0" xfId="0">
      <alignment horizontal="center" vertical="center" wrapText="1"/>
    </xf>
    <xf numFmtId="0" fontId="9"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5" fillId="3" borderId="1" applyAlignment="1" pivotButton="0" quotePrefix="0" xfId="0">
      <alignment horizontal="center" vertical="center" wrapText="1"/>
    </xf>
    <xf numFmtId="0" fontId="4" fillId="2" borderId="0" applyAlignment="1" pivotButton="0" quotePrefix="0" xfId="0">
      <alignment horizontal="center" vertical="center"/>
    </xf>
    <xf numFmtId="0" fontId="17" fillId="2" borderId="0" applyAlignment="1" pivotButton="0" quotePrefix="0" xfId="0">
      <alignment horizontal="center" vertical="center"/>
    </xf>
    <xf numFmtId="0" fontId="4" fillId="0" borderId="0" applyAlignment="1" pivotButton="0" quotePrefix="0" xfId="0">
      <alignment vertical="center"/>
    </xf>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18" fillId="3" borderId="1" applyAlignment="1" pivotButton="0" quotePrefix="0" xfId="0">
      <alignment horizontal="left" vertical="center" wrapText="1"/>
    </xf>
    <xf numFmtId="0" fontId="18" fillId="2" borderId="1" applyAlignment="1" pivotButton="0" quotePrefix="0" xfId="0">
      <alignment horizontal="left" vertical="center" wrapText="1"/>
    </xf>
    <xf numFmtId="0" fontId="2" fillId="3" borderId="1" applyAlignment="1" pivotButton="0" quotePrefix="0" xfId="0">
      <alignment horizontal="center" vertical="center" wrapText="1"/>
    </xf>
    <xf numFmtId="0" fontId="2"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Platform Margin Potential by Horizon ($M/yr)  ·  Base case 20 orders/SKU</a:t>
            </a:r>
          </a:p>
        </rich>
      </tx>
    </title>
    <plotArea>
      <barChart>
        <barDir val="bar"/>
        <grouping val="clustered"/>
        <ser>
          <idx val="0"/>
          <order val="0"/>
          <tx>
            <strRef>
              <f>'Market Sizing (TAM·SAM·SOM)'!B33</f>
            </strRef>
          </tx>
          <spPr>
            <a:solidFill xmlns:a="http://schemas.openxmlformats.org/drawingml/2006/main">
              <a:srgbClr val="2B5A18"/>
            </a:solidFill>
            <a:ln xmlns:a="http://schemas.openxmlformats.org/drawingml/2006/main">
              <a:prstDash val="solid"/>
            </a:ln>
          </spPr>
          <cat>
            <numRef>
              <f>'Market Sizing (TAM·SAM·SOM)'!$A$34:$A$37</f>
            </numRef>
          </cat>
          <val>
            <numRef>
              <f>'Market Sizing (TAM·SAM·SOM)'!$B$34:$B$37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Platform margin ($M/yr)</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Revenue Scenarios — Monthly &amp; Annual ($K)</a:t>
            </a:r>
          </a:p>
        </rich>
      </tx>
    </title>
    <plotArea>
      <barChart>
        <barDir val="col"/>
        <grouping val="clustered"/>
        <ser>
          <idx val="0"/>
          <order val="0"/>
          <tx>
            <strRef>
              <f>'OKRs &amp; KPIs'!B35</f>
            </strRef>
          </tx>
          <spPr>
            <a:solidFill xmlns:a="http://schemas.openxmlformats.org/drawingml/2006/main">
              <a:srgbClr val="B45309"/>
            </a:solidFill>
            <a:ln xmlns:a="http://schemas.openxmlformats.org/drawingml/2006/main">
              <a:prstDash val="solid"/>
            </a:ln>
          </spPr>
          <cat>
            <numRef>
              <f>'OKRs &amp; KPIs'!$A$36:$A$38</f>
            </numRef>
          </cat>
          <val>
            <numRef>
              <f>'OKRs &amp; KPIs'!$B$36:$B$38</f>
            </numRef>
          </val>
        </ser>
        <ser>
          <idx val="1"/>
          <order val="1"/>
          <tx>
            <strRef>
              <f>'OKRs &amp; KPIs'!C35</f>
            </strRef>
          </tx>
          <spPr>
            <a:solidFill xmlns:a="http://schemas.openxmlformats.org/drawingml/2006/main">
              <a:srgbClr val="2B5A18"/>
            </a:solidFill>
            <a:ln xmlns:a="http://schemas.openxmlformats.org/drawingml/2006/main">
              <a:prstDash val="solid"/>
            </a:ln>
          </spPr>
          <cat>
            <numRef>
              <f>'OKRs &amp; KPIs'!$A$36:$A$38</f>
            </numRef>
          </cat>
          <val>
            <numRef>
              <f>'OKRs &amp; KPIs'!$C$36:$C$38</f>
            </numRef>
          </val>
        </ser>
        <dLbls>
          <dLblPos val="outEnd"/>
          <showLegendKey val="0"/>
          <showVal val="1"/>
          <showCatName val="0"/>
          <showSerName val="0"/>
        </dLbls>
        <gapWidth val="150"/>
        <axId val="10"/>
        <axId val="100"/>
      </barChart>
      <catAx>
        <axId val="10"/>
        <scaling>
          <orientation val="minMax"/>
        </scaling>
        <axPos val="l"/>
        <title>
          <tx>
            <rich>
              <a:bodyPr xmlns:a="http://schemas.openxmlformats.org/drawingml/2006/main"/>
              <a:p xmlns:a="http://schemas.openxmlformats.org/drawingml/2006/main">
                <a:pPr>
                  <a:defRPr/>
                </a:pPr>
                <a:r>
                  <a:t>Scenario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Demand Signal Trajectory · Orders/SKU/month · ◆ = Month 2 kill gate (&lt;15)</a:t>
            </a:r>
          </a:p>
        </rich>
      </tx>
    </title>
    <plotArea>
      <lineChart>
        <grouping val="standard"/>
        <ser>
          <idx val="0"/>
          <order val="0"/>
          <tx>
            <strRef>
              <f>'Proxy Data &amp; Metrics'!B32</f>
            </strRef>
          </tx>
          <spPr>
            <a:ln xmlns:a="http://schemas.openxmlformats.org/drawingml/2006/main">
              <a:solidFill>
                <a:srgbClr val="B45309"/>
              </a:solidFill>
              <a:prstDash val="solid"/>
            </a:ln>
          </spPr>
          <marker>
            <symbol val="none"/>
            <spPr>
              <a:ln xmlns:a="http://schemas.openxmlformats.org/drawingml/2006/main">
                <a:prstDash val="solid"/>
              </a:ln>
            </spPr>
          </marker>
          <cat>
            <numRef>
              <f>'Proxy Data &amp; Metrics'!$A$33:$A$36</f>
            </numRef>
          </cat>
          <val>
            <numRef>
              <f>'Proxy Data &amp; Metrics'!$B$33:$B$36</f>
            </numRef>
          </val>
        </ser>
        <ser>
          <idx val="1"/>
          <order val="1"/>
          <tx>
            <strRef>
              <f>'Proxy Data &amp; Metrics'!C32</f>
            </strRef>
          </tx>
          <spPr>
            <a:ln xmlns:a="http://schemas.openxmlformats.org/drawingml/2006/main">
              <a:solidFill>
                <a:srgbClr val="2B5A18"/>
              </a:solidFill>
              <a:prstDash val="solid"/>
            </a:ln>
          </spPr>
          <marker>
            <symbol val="none"/>
            <spPr>
              <a:ln xmlns:a="http://schemas.openxmlformats.org/drawingml/2006/main">
                <a:prstDash val="solid"/>
              </a:ln>
            </spPr>
          </marker>
          <cat>
            <numRef>
              <f>'Proxy Data &amp; Metrics'!$A$33:$A$36</f>
            </numRef>
          </cat>
          <val>
            <numRef>
              <f>'Proxy Data &amp; Metrics'!$C$33:$C$36</f>
            </numRef>
          </val>
        </ser>
        <ser>
          <idx val="2"/>
          <order val="2"/>
          <tx>
            <strRef>
              <f>'Proxy Data &amp; Metrics'!D32</f>
            </strRef>
          </tx>
          <spPr>
            <a:ln xmlns:a="http://schemas.openxmlformats.org/drawingml/2006/main">
              <a:solidFill>
                <a:srgbClr val="1D6B0F"/>
              </a:solidFill>
              <a:prstDash val="solid"/>
            </a:ln>
          </spPr>
          <marker>
            <symbol val="none"/>
            <spPr>
              <a:ln xmlns:a="http://schemas.openxmlformats.org/drawingml/2006/main">
                <a:prstDash val="solid"/>
              </a:ln>
            </spPr>
          </marker>
          <cat>
            <numRef>
              <f>'Proxy Data &amp; Metrics'!$A$33:$A$36</f>
            </numRef>
          </cat>
          <val>
            <numRef>
              <f>'Proxy Data &amp; Metrics'!$D$33:$D$36</f>
            </numRef>
          </val>
        </ser>
        <axId val="10"/>
        <axId val="100"/>
      </lineChart>
      <catAx>
        <axId val="10"/>
        <scaling>
          <orientation val="minMax"/>
        </scaling>
        <axPos val="l"/>
        <title>
          <tx>
            <rich>
              <a:bodyPr xmlns:a="http://schemas.openxmlformats.org/drawingml/2006/main"/>
              <a:p xmlns:a="http://schemas.openxmlformats.org/drawingml/2006/main">
                <a:pPr>
                  <a:defRPr/>
                </a:pPr>
                <a:r>
                  <a:t>Timepoint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Orders / SKU / month</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Monthly Margin vs Annual÷12 ($K) — 3 Scenarios · $340K investment line at 340K/12≈$28K</a:t>
            </a:r>
          </a:p>
        </rich>
      </tx>
    </title>
    <plotArea>
      <barChart>
        <barDir val="col"/>
        <grouping val="clustered"/>
        <ser>
          <idx val="0"/>
          <order val="0"/>
          <tx>
            <strRef>
              <f>'Business Case'!B42</f>
            </strRef>
          </tx>
          <spPr>
            <a:ln xmlns:a="http://schemas.openxmlformats.org/drawingml/2006/main">
              <a:prstDash val="solid"/>
            </a:ln>
          </spPr>
          <cat>
            <numRef>
              <f>'Business Case'!$A$43:$A$45</f>
            </numRef>
          </cat>
          <val>
            <numRef>
              <f>'Business Case'!$B$43:$B$45</f>
            </numRef>
          </val>
        </ser>
        <ser>
          <idx val="1"/>
          <order val="1"/>
          <tx>
            <strRef>
              <f>'Business Case'!C42</f>
            </strRef>
          </tx>
          <spPr>
            <a:ln xmlns:a="http://schemas.openxmlformats.org/drawingml/2006/main">
              <a:prstDash val="solid"/>
            </a:ln>
          </spPr>
          <cat>
            <numRef>
              <f>'Business Case'!$A$43:$A$45</f>
            </numRef>
          </cat>
          <val>
            <numRef>
              <f>'Business Case'!$C$43:$C$45</f>
            </numRef>
          </val>
        </ser>
        <dLbls>
          <dLblPos val="outEnd"/>
          <showLegendKey val="0"/>
          <showVal val="1"/>
          <showCatName val="0"/>
          <showSerName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 / month</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Monthly Revenue Trajectory ($K) — 150 SKU Pilot → 1,500 SKU Scale</a:t>
            </a:r>
          </a:p>
        </rich>
      </tx>
    </title>
    <plotArea>
      <barChart>
        <barDir val="col"/>
        <grouping val="clustered"/>
        <ser>
          <idx val="0"/>
          <order val="0"/>
          <tx>
            <strRef>
              <f>'Business Case'!B73</f>
            </strRef>
          </tx>
          <spPr>
            <a:solidFill xmlns:a="http://schemas.openxmlformats.org/drawingml/2006/main">
              <a:srgbClr val="B45309"/>
            </a:solidFill>
            <a:ln xmlns:a="http://schemas.openxmlformats.org/drawingml/2006/main">
              <a:prstDash val="solid"/>
            </a:ln>
          </spPr>
          <cat>
            <numRef>
              <f>'Business Case'!$A$74:$A$78</f>
            </numRef>
          </cat>
          <val>
            <numRef>
              <f>'Business Case'!$B$74:$B$78</f>
            </numRef>
          </val>
        </ser>
        <ser>
          <idx val="1"/>
          <order val="1"/>
          <tx>
            <strRef>
              <f>'Business Case'!C73</f>
            </strRef>
          </tx>
          <spPr>
            <a:solidFill xmlns:a="http://schemas.openxmlformats.org/drawingml/2006/main">
              <a:srgbClr val="587048"/>
            </a:solidFill>
            <a:ln xmlns:a="http://schemas.openxmlformats.org/drawingml/2006/main">
              <a:prstDash val="solid"/>
            </a:ln>
          </spPr>
          <cat>
            <numRef>
              <f>'Business Case'!$A$74:$A$78</f>
            </numRef>
          </cat>
          <val>
            <numRef>
              <f>'Business Case'!$C$74:$C$78</f>
            </numRef>
          </val>
        </ser>
        <ser>
          <idx val="2"/>
          <order val="2"/>
          <tx>
            <strRef>
              <f>'Business Case'!D73</f>
            </strRef>
          </tx>
          <spPr>
            <a:solidFill xmlns:a="http://schemas.openxmlformats.org/drawingml/2006/main">
              <a:srgbClr val="276230"/>
            </a:solidFill>
            <a:ln xmlns:a="http://schemas.openxmlformats.org/drawingml/2006/main">
              <a:prstDash val="solid"/>
            </a:ln>
          </spPr>
          <cat>
            <numRef>
              <f>'Business Case'!$A$74:$A$78</f>
            </numRef>
          </cat>
          <val>
            <numRef>
              <f>'Business Case'!$D$74:$D$78</f>
            </numRef>
          </val>
        </ser>
        <dLbls>
          <dLblPos val="outEnd"/>
          <showLegendKey val="0"/>
          <showVal val="1"/>
          <showCatName val="0"/>
          <showSerName val="0"/>
        </dLbls>
        <gapWidth val="150"/>
        <axId val="10"/>
        <axId val="100"/>
      </barChart>
      <catAx>
        <axId val="10"/>
        <scaling>
          <orientation val="minMax"/>
        </scaling>
        <axPos val="l"/>
        <title>
          <tx>
            <rich>
              <a:bodyPr xmlns:a="http://schemas.openxmlformats.org/drawingml/2006/main"/>
              <a:p xmlns:a="http://schemas.openxmlformats.org/drawingml/2006/main">
                <a:pPr>
                  <a:defRPr/>
                </a:pPr>
                <a:r>
                  <a:t>Month (post-launch)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Monthly margin ($K)</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Investment Phasing — Phase Cost &amp; Cumulative ($K)</a:t>
            </a:r>
          </a:p>
        </rich>
      </tx>
    </title>
    <plotArea>
      <barChart>
        <barDir val="col"/>
        <grouping val="clustered"/>
        <ser>
          <idx val="0"/>
          <order val="0"/>
          <tx>
            <strRef>
              <f>'Roadmap'!B21</f>
            </strRef>
          </tx>
          <spPr>
            <a:ln xmlns:a="http://schemas.openxmlformats.org/drawingml/2006/main">
              <a:prstDash val="solid"/>
            </a:ln>
          </spPr>
          <cat>
            <numRef>
              <f>'Roadmap'!$A$22:$A$26</f>
            </numRef>
          </cat>
          <val>
            <numRef>
              <f>'Roadmap'!$B$22:$B$26</f>
            </numRef>
          </val>
        </ser>
        <ser>
          <idx val="1"/>
          <order val="1"/>
          <tx>
            <strRef>
              <f>'Roadmap'!C21</f>
            </strRef>
          </tx>
          <spPr>
            <a:ln xmlns:a="http://schemas.openxmlformats.org/drawingml/2006/main">
              <a:prstDash val="solid"/>
            </a:ln>
          </spPr>
          <cat>
            <numRef>
              <f>'Roadmap'!$A$22:$A$26</f>
            </numRef>
          </cat>
          <val>
            <numRef>
              <f>'Roadmap'!$C$22:$C$26</f>
            </numRef>
          </val>
        </ser>
        <dLbls>
          <dLblPos val="outEnd"/>
          <showLegendKey val="0"/>
          <showVal val="1"/>
          <showCatName val="0"/>
          <showSerName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s>
</file>

<file path=xl/drawings/_rels/drawing5.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11</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39</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37</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46</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79</row>
      <rowOff>0</rowOff>
    </from>
    <ext cx="792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0</col>
      <colOff>0</colOff>
      <row>27</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16" customWidth="1" min="1" max="1"/>
    <col width="38" customWidth="1" min="2" max="2"/>
    <col width="22" customWidth="1" min="3" max="3"/>
    <col width="5" customWidth="1" min="4" max="4"/>
    <col width="30" customWidth="1" min="5" max="5"/>
    <col width="5" customWidth="1" min="6" max="6"/>
    <col width="18" customWidth="1" min="7" max="7"/>
  </cols>
  <sheetData>
    <row r="1" ht="30" customHeight="1">
      <c r="A1" s="1" t="inlineStr">
        <is>
          <t>US Personalized Leather — Market Sizing  ·  TAM / SAM / SOM</t>
        </is>
      </c>
    </row>
    <row r="2" ht="16" customHeight="1">
      <c r="A2" s="2" t="inlineStr">
        <is>
          <t>Why Printify should act now — the market we can capture and lead in the US gifting vertical</t>
        </is>
      </c>
    </row>
    <row r="3" ht="5" customHeight="1"/>
    <row r="4" ht="16" customHeight="1">
      <c r="A4" s="3" t="inlineStr">
        <is>
          <t>1. Market Funnel — TAM → SAM → SOM</t>
        </is>
      </c>
    </row>
    <row r="5" ht="28" customHeight="1">
      <c r="A5" s="4" t="inlineStr">
        <is>
          <t>Level</t>
        </is>
      </c>
      <c r="B5" s="4" t="inlineStr">
        <is>
          <t>What it means</t>
        </is>
      </c>
      <c r="C5" s="4" t="inlineStr">
        <is>
          <t>USA Market Size (GMV)</t>
        </is>
      </c>
      <c r="D5" s="4" t="inlineStr">
        <is>
          <t>Platform margin</t>
        </is>
      </c>
      <c r="E5" s="4" t="inlineStr">
        <is>
          <t>Basis / Assumption</t>
        </is>
      </c>
      <c r="F5" s="4" t="inlineStr">
        <is>
          <t>Status</t>
        </is>
      </c>
    </row>
    <row r="6" ht="44" customHeight="1">
      <c r="A6" s="5" t="inlineStr">
        <is>
          <t>TAM</t>
        </is>
      </c>
      <c r="B6" s="6" t="inlineStr">
        <is>
          <t>Total Addressable Market
All US personalized leather goods purchasable online</t>
        </is>
      </c>
      <c r="C6" s="7" t="inlineStr">
        <is>
          <t>$2.5B / yr</t>
        </is>
      </c>
      <c r="D6" s="7" t="inlineStr">
        <is>
          <t>—</t>
        </is>
      </c>
      <c r="E6" s="8" t="inlineStr">
        <is>
          <t>$54.26B US leather goods (Nova One Advisor 2025) × ~5% personalized/custom share × ~50% POD-accessible online channel</t>
        </is>
      </c>
      <c r="F6" s="7" t="inlineStr">
        <is>
          <t>Market exists</t>
        </is>
      </c>
    </row>
    <row r="7" ht="44" customHeight="1">
      <c r="A7" s="9" t="inlineStr">
        <is>
          <t>SAM</t>
        </is>
      </c>
      <c r="B7" s="10" t="inlineStr">
        <is>
          <t>Serviceable Addressable Market
POD Decorators Printify can realistically reach in the US</t>
        </is>
      </c>
      <c r="C7" s="11" t="inlineStr">
        <is>
          <t>~$375M / yr</t>
        </is>
      </c>
      <c r="D7" s="11" t="inlineStr">
        <is>
          <t>~$30M / yr</t>
        </is>
      </c>
      <c r="E7" s="12" t="inlineStr">
        <is>
          <t>TAM × ~15% Printify POD platform market share. Platform margin estimated at ~8% of GMV ($8 margin on ~$40–$80 AOV)</t>
        </is>
      </c>
      <c r="F7" s="11" t="inlineStr">
        <is>
          <t>Reachable</t>
        </is>
      </c>
    </row>
    <row r="8" ht="44" customHeight="1">
      <c r="A8" s="13" t="inlineStr">
        <is>
          <t>SOM — Year 1
(Post kill-gate)</t>
        </is>
      </c>
      <c r="B8" s="14" t="inlineStr">
        <is>
          <t>Serviceable Obtainable Market · Year 1
20 Decorators · 600 SKUs · base case 20 orders/SKU/mo
Pilot (5 Dec) passes G2 gate → scale to 20 Dec by Month 12</t>
        </is>
      </c>
      <c r="C8" s="15" t="inlineStr">
        <is>
          <t>$576K / yr GMV</t>
        </is>
      </c>
      <c r="D8" s="15" t="inlineStr">
        <is>
          <t>~$1.2M / yr</t>
        </is>
      </c>
      <c r="E8" s="16" t="inlineStr">
        <is>
          <t>600 SKUs × 20 orders/SKU/mo × $8 × 12 months. Assumes kill gate passed at Month 2 and ramp to 20 Decorators by end of Year 1. Pilot alone (5 Dec): $288K/yr.</t>
        </is>
      </c>
      <c r="F8" s="15" t="inlineStr">
        <is>
          <t>▶ GO</t>
        </is>
      </c>
    </row>
    <row r="9" ht="44" customHeight="1">
      <c r="A9" s="17" t="inlineStr">
        <is>
          <t>SOM — Year 2
(Scale to 50 Dec)</t>
        </is>
      </c>
      <c r="B9" s="6" t="inlineStr">
        <is>
          <t>Serviceable Obtainable Market · Year 2
50 Decorators · 1,500 SKUs · base case</t>
        </is>
      </c>
      <c r="C9" s="18" t="inlineStr">
        <is>
          <t>$1.44M / yr GMV</t>
        </is>
      </c>
      <c r="D9" s="18" t="inlineStr">
        <is>
          <t>$2.9M / yr</t>
        </is>
      </c>
      <c r="E9" s="8" t="inlineStr">
        <is>
          <t>1,500 SKUs × 20 orders/SKU/mo × $8 × 12. Requires G2 kill gate passed and catalog expansion approved. Optimistic (50/SKU): $7.2M/yr.</t>
        </is>
      </c>
      <c r="F9" s="19" t="inlineStr">
        <is>
          <t>If GO</t>
        </is>
      </c>
    </row>
    <row r="10" ht="44" customHeight="1">
      <c r="A10" s="20" t="inlineStr">
        <is>
          <t>SOM — Year 5
(Market Leadership)</t>
        </is>
      </c>
      <c r="B10" s="10" t="inlineStr">
        <is>
          <t>Serviceable Obtainable Market · Year 5
Default global POD platform for FTC-compliant leather
50% SAM capture · namespace:leather lock-in</t>
        </is>
      </c>
      <c r="C10" s="21" t="inlineStr">
        <is>
          <t>~$187M / yr GMV</t>
        </is>
      </c>
      <c r="D10" s="21" t="inlineStr">
        <is>
          <t>$18.7M / yr</t>
        </is>
      </c>
      <c r="E10" s="12" t="inlineStr">
        <is>
          <t>$375M SAM × 50% Printify capture × ~10% blended platform margin. Requires Shopify App Store v2, namespace:leather spec lock-in, and catalog stickiness from early Decorator onboarding.</t>
        </is>
      </c>
      <c r="F10" s="11" t="inlineStr">
        <is>
          <t>Leadership</t>
        </is>
      </c>
    </row>
    <row r="11" ht="5" customHeight="1"/>
    <row r="12" ht="16" customHeight="1">
      <c r="A12" s="3" t="inlineStr">
        <is>
          <t>2. How the Numbers Are Built</t>
        </is>
      </c>
    </row>
    <row r="13" ht="28" customHeight="1">
      <c r="A13" s="4" t="inlineStr">
        <is>
          <t>Step</t>
        </is>
      </c>
      <c r="B13" s="4" t="inlineStr">
        <is>
          <t>Input</t>
        </is>
      </c>
      <c r="C13" s="4" t="inlineStr">
        <is>
          <t>Value</t>
        </is>
      </c>
      <c r="D13" s="4" t="inlineStr">
        <is>
          <t>×</t>
        </is>
      </c>
      <c r="E13" s="4" t="inlineStr">
        <is>
          <t>Multiplier</t>
        </is>
      </c>
      <c r="F13" s="4" t="inlineStr">
        <is>
          <t>=</t>
        </is>
      </c>
      <c r="G13" s="4" t="inlineStr">
        <is>
          <t>Result</t>
        </is>
      </c>
    </row>
    <row r="14" ht="18" customHeight="1">
      <c r="A14" s="4" t="inlineStr">
        <is>
          <t>TAM</t>
        </is>
      </c>
      <c r="B14" s="6" t="inlineStr">
        <is>
          <t>US Leather Goods Market (Nova One Advisor 2025)</t>
        </is>
      </c>
      <c r="C14" s="22" t="inlineStr">
        <is>
          <t>$54.26B</t>
        </is>
      </c>
      <c r="D14" s="7" t="inlineStr">
        <is>
          <t>×</t>
        </is>
      </c>
      <c r="E14" s="8" t="inlineStr">
        <is>
          <t>5% personalized custom</t>
        </is>
      </c>
      <c r="F14" s="7" t="inlineStr">
        <is>
          <t>=</t>
        </is>
      </c>
      <c r="G14" s="22" t="inlineStr">
        <is>
          <t>~$2.7B</t>
        </is>
      </c>
    </row>
    <row r="15" ht="18" customHeight="1">
      <c r="A15" s="4" t="inlineStr">
        <is>
          <t>TAM</t>
        </is>
      </c>
      <c r="B15" s="6" t="inlineStr">
        <is>
          <t>Personalized segment</t>
        </is>
      </c>
      <c r="C15" s="22" t="inlineStr">
        <is>
          <t>$2.7B</t>
        </is>
      </c>
      <c r="D15" s="7" t="inlineStr">
        <is>
          <t>×</t>
        </is>
      </c>
      <c r="E15" s="8" t="inlineStr">
        <is>
          <t>50% POD-accessible online</t>
        </is>
      </c>
      <c r="F15" s="7" t="inlineStr">
        <is>
          <t>=</t>
        </is>
      </c>
      <c r="G15" s="22" t="inlineStr">
        <is>
          <t>~$1.35B–$2.5B</t>
        </is>
      </c>
    </row>
    <row r="16" ht="18" customHeight="1">
      <c r="A16" s="23" t="inlineStr">
        <is>
          <t>SAM</t>
        </is>
      </c>
      <c r="B16" s="10" t="inlineStr">
        <is>
          <t>POD-addressable TAM</t>
        </is>
      </c>
      <c r="C16" s="24" t="inlineStr">
        <is>
          <t>$2.5B</t>
        </is>
      </c>
      <c r="D16" s="11" t="inlineStr">
        <is>
          <t>×</t>
        </is>
      </c>
      <c r="E16" s="12" t="inlineStr">
        <is>
          <t>15% Printify market share</t>
        </is>
      </c>
      <c r="F16" s="11" t="inlineStr">
        <is>
          <t>=</t>
        </is>
      </c>
      <c r="G16" s="24" t="inlineStr">
        <is>
          <t>~$375M GMV/yr</t>
        </is>
      </c>
    </row>
    <row r="17" ht="18" customHeight="1">
      <c r="A17" s="23" t="inlineStr">
        <is>
          <t>SAM</t>
        </is>
      </c>
      <c r="B17" s="10" t="inlineStr">
        <is>
          <t>Printify GMV</t>
        </is>
      </c>
      <c r="C17" s="24" t="inlineStr">
        <is>
          <t>$375M</t>
        </is>
      </c>
      <c r="D17" s="11" t="inlineStr">
        <is>
          <t>×</t>
        </is>
      </c>
      <c r="E17" s="12" t="inlineStr">
        <is>
          <t>8% blended platform margin</t>
        </is>
      </c>
      <c r="F17" s="11" t="inlineStr">
        <is>
          <t>=</t>
        </is>
      </c>
      <c r="G17" s="24" t="inlineStr">
        <is>
          <t>~$30M/yr margin</t>
        </is>
      </c>
    </row>
    <row r="18" ht="18" customHeight="1">
      <c r="A18" s="15" t="inlineStr">
        <is>
          <t>SOM Y1</t>
        </is>
      </c>
      <c r="B18" s="14" t="inlineStr">
        <is>
          <t>150 SKUs (pilot)</t>
        </is>
      </c>
      <c r="C18" s="25" t="inlineStr">
        <is>
          <t>150</t>
        </is>
      </c>
      <c r="D18" s="26" t="inlineStr">
        <is>
          <t>×</t>
        </is>
      </c>
      <c r="E18" s="16" t="inlineStr">
        <is>
          <t>20 orders/SKU/mo × $8 × 12</t>
        </is>
      </c>
      <c r="F18" s="26" t="inlineStr">
        <is>
          <t>=</t>
        </is>
      </c>
      <c r="G18" s="25" t="inlineStr">
        <is>
          <t>$288K/yr</t>
        </is>
      </c>
    </row>
    <row r="19" ht="18" customHeight="1">
      <c r="A19" s="18" t="inlineStr">
        <is>
          <t>SOM Y2</t>
        </is>
      </c>
      <c r="B19" s="6" t="inlineStr">
        <is>
          <t>1,500 SKUs (×10 scale)</t>
        </is>
      </c>
      <c r="C19" s="27" t="inlineStr">
        <is>
          <t>1,500</t>
        </is>
      </c>
      <c r="D19" s="7" t="inlineStr">
        <is>
          <t>×</t>
        </is>
      </c>
      <c r="E19" s="8" t="inlineStr">
        <is>
          <t>20 orders/SKU/mo × $8 × 12</t>
        </is>
      </c>
      <c r="F19" s="7" t="inlineStr">
        <is>
          <t>=</t>
        </is>
      </c>
      <c r="G19" s="27" t="inlineStr">
        <is>
          <t>$2.88M/yr</t>
        </is>
      </c>
    </row>
    <row r="20" ht="18" customHeight="1">
      <c r="A20" s="21" t="inlineStr">
        <is>
          <t>SOM LT</t>
        </is>
      </c>
      <c r="B20" s="10" t="inlineStr">
        <is>
          <t>$2.5B TAM</t>
        </is>
      </c>
      <c r="C20" s="28" t="inlineStr">
        <is>
          <t>$2.5B</t>
        </is>
      </c>
      <c r="D20" s="11" t="inlineStr">
        <is>
          <t>×</t>
        </is>
      </c>
      <c r="E20" s="12" t="inlineStr">
        <is>
          <t>5% capture × 8% margin</t>
        </is>
      </c>
      <c r="F20" s="11" t="inlineStr">
        <is>
          <t>=</t>
        </is>
      </c>
      <c r="G20" s="28" t="inlineStr">
        <is>
          <t>~$10M/yr</t>
        </is>
      </c>
    </row>
    <row r="21" ht="5" customHeight="1"/>
    <row r="22" ht="16" customHeight="1">
      <c r="A22" s="3" t="inlineStr">
        <is>
          <t>3. Why Now — The First-Mover Case</t>
        </is>
      </c>
    </row>
    <row r="23" ht="28" customHeight="1">
      <c r="A23" s="4" t="inlineStr">
        <is>
          <t>Signal</t>
        </is>
      </c>
      <c r="B23" s="4" t="inlineStr">
        <is>
          <t>Data point</t>
        </is>
      </c>
      <c r="C23" s="4" t="inlineStr">
        <is>
          <t>What it means for Printify</t>
        </is>
      </c>
    </row>
    <row r="24" ht="28" customHeight="1">
      <c r="A24" s="5" t="inlineStr">
        <is>
          <t>Zero structured-taxonomy player</t>
        </is>
      </c>
      <c r="B24" s="8" t="inlineStr">
        <is>
          <t>No POD platform has leather taxonomy + FTC compliance today</t>
        </is>
      </c>
      <c r="C24" s="6" t="inlineStr">
        <is>
          <t>12–18 month first-mover window. First to build = first to lock in Decorator catalogs</t>
        </is>
      </c>
    </row>
    <row r="25" ht="28" customHeight="1">
      <c r="A25" s="5" t="inlineStr">
        <is>
          <t>Etsy leather demand accelerating</t>
        </is>
      </c>
      <c r="B25" s="8" t="inlineStr">
        <is>
          <t>"leather" #215 top keyword · +57% search growth Nov–Dec · 125%+ CTR (eRank 2025)</t>
        </is>
      </c>
      <c r="C25" s="6" t="inlineStr">
        <is>
          <t>Demand is rising NOW. Waiting 12 months means competitors see the same signal and react</t>
        </is>
      </c>
    </row>
    <row r="26" ht="28" customHeight="1">
      <c r="A26" s="5" t="inlineStr">
        <is>
          <t>Amazon demand confirmed</t>
        </is>
      </c>
      <c r="B26" s="8" t="inlineStr">
        <is>
          <t>BULLIANT wallet: 8,365 units/mo BSR — top POD leather SKU (accio.com)</t>
        </is>
      </c>
      <c r="C26" s="6" t="inlineStr">
        <is>
          <t>The ceiling is real. New POD SKUs enter at 5–20/mo — pilot target of 20/SKU is achievable</t>
        </is>
      </c>
    </row>
    <row r="27" ht="28" customHeight="1">
      <c r="A27" s="5" t="inlineStr">
        <is>
          <t>Shopify timing</t>
        </is>
      </c>
      <c r="B27" s="8" t="inlineStr">
        <is>
          <t>Material Attributes standard launched 2025 — structured leather channel just opened</t>
        </is>
      </c>
      <c r="C27" s="6" t="inlineStr">
        <is>
          <t>Integrate now with no SP-API dependency (MVP 2). Wait = competitors integrate first</t>
        </is>
      </c>
    </row>
    <row r="28" ht="28" customHeight="1">
      <c r="A28" s="5" t="inlineStr">
        <is>
          <t>PrintKK dependency cost</t>
        </is>
      </c>
      <c r="B28" s="8" t="inlineStr">
        <is>
          <t>Decorators using PrintKK: 50-unit MOQ, no FTC compliance, no portal</t>
        </is>
      </c>
      <c r="C28" s="6" t="inlineStr">
        <is>
          <t>Every month of inaction: Decorators build their leather catalog on a competitor</t>
        </is>
      </c>
    </row>
    <row r="29" ht="28" customHeight="1">
      <c r="A29" s="5" t="inlineStr">
        <is>
          <t>Kill gate protection</t>
        </is>
      </c>
      <c r="B29" s="8" t="inlineStr">
        <is>
          <t>Max loss at Month 2 gate: $220K (not $340K). PoC = $0</t>
        </is>
      </c>
      <c r="C29" s="6" t="inlineStr">
        <is>
          <t>This is a controlled bet — not a blind $340K commitment. Data decides, not projections</t>
        </is>
      </c>
    </row>
    <row r="31" ht="24" customHeight="1">
      <c r="A31" s="29" t="inlineStr">
        <is>
          <t>Sources: Nova One Advisor 2025 · accio.com · eRank 2025 · Shopify Material Attributes documentation · Internal Printify Decorator base estimate. SOM figures assume base case (20 orders/SKU/mo); optimistic (50/SKU) would 2.5× all SOM numbers.</t>
        </is>
      </c>
    </row>
    <row r="33" customHeight="1">
      <c r="A33" t="inlineStr">
        <is>
          <t>Level</t>
        </is>
      </c>
      <c r="B33" t="inlineStr">
        <is>
          <t>Platform Margin $M/yr</t>
        </is>
      </c>
    </row>
    <row r="34" customHeight="1">
      <c r="A34" t="inlineStr">
        <is>
          <t>SAM (reachable)</t>
        </is>
      </c>
      <c r="B34" t="n">
        <v>30</v>
      </c>
    </row>
    <row r="35" customHeight="1">
      <c r="A35" t="inlineStr">
        <is>
          <t>SOM Year 5 (Leadership · 50% SAM)</t>
        </is>
      </c>
      <c r="B35" t="n">
        <v>18.7</v>
      </c>
    </row>
    <row r="36" customHeight="1">
      <c r="A36" t="inlineStr">
        <is>
          <t>SOM Year 2 (50 Decorators)</t>
        </is>
      </c>
      <c r="B36" t="n">
        <v>2.9</v>
      </c>
    </row>
    <row r="37" customHeight="1">
      <c r="A37" t="inlineStr">
        <is>
          <t>SOM Year 1 (20 Decorators)</t>
        </is>
      </c>
      <c r="B37" t="n">
        <v>1.2</v>
      </c>
    </row>
  </sheetData>
  <mergeCells count="6">
    <mergeCell ref="A1:G1"/>
    <mergeCell ref="A31:G31"/>
    <mergeCell ref="A22:G22"/>
    <mergeCell ref="A12:G12"/>
    <mergeCell ref="A4:G4"/>
    <mergeCell ref="A2:G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18" customWidth="1" min="1" max="1"/>
    <col width="11" customWidth="1" min="2" max="2"/>
    <col width="28" customWidth="1" min="3" max="3"/>
    <col width="22" customWidth="1" min="4" max="4"/>
    <col width="26" customWidth="1" min="5" max="5"/>
    <col width="11" customWidth="1" min="6" max="6"/>
    <col width="28" customWidth="1" min="7" max="7"/>
    <col width="11" customWidth="1" min="8" max="8"/>
    <col width="10" customWidth="1" min="9" max="9"/>
  </cols>
  <sheetData>
    <row r="1" ht="16" customHeight="1">
      <c r="A1" s="3" t="inlineStr">
        <is>
          <t>🎯  OKRs &amp; KPIs — Premium Leather Goods · Printify Supply Pillar</t>
        </is>
      </c>
    </row>
    <row r="2" ht="72" customHeight="1">
      <c r="A2" s="30" t="inlineStr">
        <is>
          <t>STRATEGIC INTENT — Establish Printify as the go-to POD ecosystem for genuine leather goods, unlocking merchant AOVs of $35–$80 (vs. $18–$25 apparel) and building a defensive moat through structured taxonomy + automated FTC compliance. No competitor has this today — 12–18 month first-mover window.
HOW TO READ THIS TABLE — Each Key Result (KR) describes a specific metric being moved. FROM shows the current baseline state (what exists today). TO shows the concrete target. WHY explains the rationale for choosing that specific number. EVIDENCE shows the data source or benchmark this target is anchored to. Targets are not aspirational — they are the minimum threshold for ROI justification on the $340K investment.</t>
        </is>
      </c>
      <c r="B2" s="31" t="n"/>
      <c r="C2" s="31" t="n"/>
      <c r="D2" s="31" t="n"/>
      <c r="E2" s="31" t="n"/>
      <c r="F2" s="31" t="n"/>
      <c r="G2" s="31" t="n"/>
      <c r="H2" s="31" t="n"/>
      <c r="I2" s="32" t="n"/>
    </row>
    <row r="3" ht="5" customHeight="1"/>
    <row r="4" ht="16" customHeight="1">
      <c r="A4" s="3" t="inlineStr">
        <is>
          <t>1 · OKR Framework — 3 Objectives · 7 Key Results  ·  Each KR shows: FROM (baseline) → TO (target) · WHY · EVIDENCE</t>
        </is>
      </c>
    </row>
    <row r="5" ht="28" customHeight="1">
      <c r="A5" s="4" t="inlineStr">
        <is>
          <t>Objective</t>
        </is>
      </c>
      <c r="B5" s="4" t="inlineStr">
        <is>
          <t>#</t>
        </is>
      </c>
      <c r="C5" s="4" t="inlineStr">
        <is>
          <t>Metric moved</t>
        </is>
      </c>
      <c r="D5" s="4" t="inlineStr">
        <is>
          <t>FROM — current state</t>
        </is>
      </c>
      <c r="E5" s="4" t="inlineStr">
        <is>
          <t>TO — target</t>
        </is>
      </c>
      <c r="F5" s="4" t="inlineStr">
        <is>
          <t>Why this target</t>
        </is>
      </c>
      <c r="G5" s="4" t="inlineStr">
        <is>
          <t>Evidence / basis</t>
        </is>
      </c>
      <c r="H5" s="4" t="inlineStr">
        <is>
          <t>Phase</t>
        </is>
      </c>
      <c r="I5" s="4" t="inlineStr">
        <is>
          <t>Status</t>
        </is>
      </c>
    </row>
    <row r="6" ht="56" customHeight="1">
      <c r="A6" s="33" t="inlineStr">
        <is>
          <t>1 · Low-Friction Onboarding</t>
        </is>
      </c>
      <c r="B6" s="23" t="inlineStr">
        <is>
          <t>KR 1.1</t>
        </is>
      </c>
      <c r="C6" s="10" t="inlineStr">
        <is>
          <t>Decorator onboarding time (portal → first approved blueprint)</t>
        </is>
      </c>
      <c r="D6" s="34" t="inlineStr">
        <is>
          <t>No leather portal today. Generic multi-field form without AI assist = 3–5 days (email back-and-forth)</t>
        </is>
      </c>
      <c r="E6" s="15" t="inlineStr">
        <is>
          <t>&lt; 24 hours</t>
        </is>
      </c>
      <c r="F6" s="10" t="inlineStr">
        <is>
          <t>Each day of delay = supply bottleneck. Long onboarding → Decorator abandonment → 150-SKU pilot fails before launch</t>
        </is>
      </c>
      <c r="G6" s="35" t="inlineStr">
        <is>
          <t>Printify apparel onboarding benchmark: complex forms without AI assist average 3–5 days. AI field-assist pre-fills 8 schema fields → estimated 70% reduction. Target 24h is achievable with assisted flow.</t>
        </is>
      </c>
      <c r="H6" s="11" t="inlineStr">
        <is>
          <t>MVP 2</t>
        </is>
      </c>
      <c r="I6" s="11" t="inlineStr">
        <is>
          <t>⚪ Not started</t>
        </is>
      </c>
    </row>
    <row r="7" ht="56" customHeight="1">
      <c r="A7" s="33" t="inlineStr">
        <is>
          <t>1 · Low-Friction Onboarding</t>
        </is>
      </c>
      <c r="B7" s="23" t="inlineStr">
        <is>
          <t>KR 1.2</t>
        </is>
      </c>
      <c r="C7" s="10" t="inlineStr">
        <is>
          <t>Portal submission form error rate (rejected / total submitted)</t>
        </is>
      </c>
      <c r="D7" s="34" t="inlineStr">
        <is>
          <t>Estimated 20–35% error rate on unassisted complex multi-field material forms (industry benchmark)</t>
        </is>
      </c>
      <c r="E7" s="15" t="inlineStr">
        <is>
          <t>&lt; 10%</t>
        </is>
      </c>
      <c r="F7" s="10" t="inlineStr">
        <is>
          <t>&gt;20% error rate → manual Ops queue required. Each manual review costs ~$40 ops vs. $8 margin/order — unit economics collapse at any volume above pilot</t>
        </is>
      </c>
      <c r="G7" s="35" t="inlineStr">
        <is>
          <t>Industry benchmark: unassisted 5+ field enum forms average 20–35% error rate. Field-Assist Agent (AI pre-fill) reduces error rate to &lt;10% in comparable deployments (Printify internal UX data).</t>
        </is>
      </c>
      <c r="H7" s="11" t="inlineStr">
        <is>
          <t>MVP 2 Gate</t>
        </is>
      </c>
      <c r="I7" s="11" t="inlineStr">
        <is>
          <t>⚪ Not started</t>
        </is>
      </c>
    </row>
    <row r="8" ht="56" customHeight="1">
      <c r="A8" s="36" t="inlineStr">
        <is>
          <t>2 · Legal &amp; Compliance</t>
        </is>
      </c>
      <c r="B8" s="4" t="inlineStr">
        <is>
          <t>KR 2.1</t>
        </is>
      </c>
      <c r="C8" s="6" t="inlineStr">
        <is>
          <t>MAT-001 FTC classifier auto-approval rate (genuine leather submissions)</t>
        </is>
      </c>
      <c r="D8" s="37" t="inlineStr">
        <is>
          <t>0% auto-approval. No classifier today — 100% of leather submissions require manual compliance review</t>
        </is>
      </c>
      <c r="E8" s="15" t="inlineStr">
        <is>
          <t>≥ 88%</t>
        </is>
      </c>
      <c r="F8" s="6" t="inlineStr">
        <is>
          <t>&lt;88% auto-approval = manual ops scale linearly with volume. At 3,000 orders/mo, manual review destroys the $8 margin/order. 88% sets a floor where ops queue remains manageable</t>
        </is>
      </c>
      <c r="G8" s="38" t="inlineStr">
        <is>
          <t>LLM classifiers on structured-label material tasks achieve 85–92% accuracy (Printify compliance team estimate). 88% is the break-even point where automated review covers &gt;10 Decorator catalog scale without additional ops headcount.</t>
        </is>
      </c>
      <c r="H8" s="7" t="inlineStr">
        <is>
          <t>MVP 1</t>
        </is>
      </c>
      <c r="I8" s="7" t="inlineStr">
        <is>
          <t>⚪ Not started</t>
        </is>
      </c>
    </row>
    <row r="9" ht="56" customHeight="1">
      <c r="A9" s="36" t="inlineStr">
        <is>
          <t>2 · Legal &amp; Compliance</t>
        </is>
      </c>
      <c r="B9" s="4" t="inlineStr">
        <is>
          <t>KR 2.2</t>
        </is>
      </c>
      <c r="C9" s="6" t="inlineStr">
        <is>
          <t>FTC MAT-001 false-positive rate (legitimate Decorators wrongly rejected)</t>
        </is>
      </c>
      <c r="D9" s="37" t="inlineStr">
        <is>
          <t>N/A today — no classifier. PU/bonded leather is listed as "genuine" with zero enforcement</t>
        </is>
      </c>
      <c r="E9" s="15" t="inlineStr">
        <is>
          <t>&lt; 2%</t>
        </is>
      </c>
      <c r="F9" s="6" t="inlineStr">
        <is>
          <t>FP &gt; 2% = legitimate Decorators wrongly blocked → churned account + platform trust damage. Every false block is a supply loss and a reputational risk.</t>
        </is>
      </c>
      <c r="G9" s="38" t="inlineStr">
        <is>
          <t>Internal Printify UX benchmark: &lt;2% false rejection rate is the acceptable threshold for gated submission flows. Above 2%, user trust collapses and appeal volume overwhelms Ops (Printify apparel classifier precedent).</t>
        </is>
      </c>
      <c r="H9" s="7" t="inlineStr">
        <is>
          <t>MVP 1 Gate</t>
        </is>
      </c>
      <c r="I9" s="7" t="inlineStr">
        <is>
          <t>⚪ Not started</t>
        </is>
      </c>
    </row>
    <row r="10" ht="56" customHeight="1">
      <c r="A10" s="33" t="inlineStr">
        <is>
          <t>3 · Commercial ROI &amp; Velocity</t>
        </is>
      </c>
      <c r="B10" s="23" t="inlineStr">
        <is>
          <t>KR 3.1</t>
        </is>
      </c>
      <c r="C10" s="10" t="inlineStr">
        <is>
          <t>Active catalog SKUs live before marketplace launch (Etsy + Amazon + Shopify)</t>
        </is>
      </c>
      <c r="D10" s="34" t="inlineStr">
        <is>
          <t>0 genuine leather SKUs on Printify today (confirmed: internal catalog audit — 45 products, 100% synthetic PU)</t>
        </is>
      </c>
      <c r="E10" s="15" t="inlineStr">
        <is>
          <t>150 SKUs (5×30)</t>
        </is>
      </c>
      <c r="F10" s="10" t="inlineStr">
        <is>
          <t>Etsy and Amazon algorithms require minimum catalog depth to surface a new supplier organically. Below 100 active listings = category-invisible. Shopify pilot (W12) starts earlier with fewer SKUs and provides immediate signal.</t>
        </is>
      </c>
      <c r="G10" s="35" t="inlineStr">
        <is>
          <t>eRank: minimum ~100 active listings required for category algorithm indexing signal. ShelfTrend: top-quartile leather stores average 120–200 active SKUs. Shopify Material Attributes (2025): no indexing delay — W12 signal valid from day 1.</t>
        </is>
      </c>
      <c r="H10" s="11" t="inlineStr">
        <is>
          <t>MVP 2 Gate</t>
        </is>
      </c>
      <c r="I10" s="11" t="inlineStr">
        <is>
          <t>⚪ Not started</t>
        </is>
      </c>
    </row>
    <row r="11" ht="56" customHeight="1">
      <c r="A11" s="33" t="inlineStr">
        <is>
          <t>3 · Commercial ROI &amp; Velocity</t>
        </is>
      </c>
      <c r="B11" s="23" t="inlineStr">
        <is>
          <t>KR 3.2</t>
        </is>
      </c>
      <c r="C11" s="10" t="inlineStr">
        <is>
          <t>Sales velocity post-launch: orders / SKU / month (organic, all channels)</t>
        </is>
      </c>
      <c r="D11" s="34" t="inlineStr">
        <is>
          <t>0 orders/SKU/mo on Printify leather (no genuine leather exists today)</t>
        </is>
      </c>
      <c r="E11" s="15" t="inlineStr">
        <is>
          <t>≥ 20 / SKU / mo</t>
        </is>
      </c>
      <c r="F11" s="10" t="inlineStr">
        <is>
          <t>20/SKU is the base-case planning floor for positive ROI on $340K investment (payback ~16 months). Kill gate triggers at &lt;15 at Month 2 — 20 gives a 33% safety margin above the kill threshold.</t>
        </is>
      </c>
      <c r="G11" s="35" t="inlineStr">
        <is>
          <t>Proxy: accio.com — BULLIANT leather wallet (Amazon) = 8,365 units/mo. Etsy top-quartile leather sellers: 15–25 orders/SKU/mo (ShelfTrend 2025). 20/SKU is achievable entry point within documented range. Shopify adds a 3rd channel reducing single-platform dependency.</t>
        </is>
      </c>
      <c r="H11" s="11" t="inlineStr">
        <is>
          <t>MVP 3 / Month 1</t>
        </is>
      </c>
      <c r="I11" s="11" t="inlineStr">
        <is>
          <t>⚪ Not started</t>
        </is>
      </c>
    </row>
    <row r="12" ht="56" customHeight="1">
      <c r="A12" s="33" t="inlineStr">
        <is>
          <t>3 · Commercial ROI &amp; Velocity</t>
        </is>
      </c>
      <c r="B12" s="23" t="inlineStr">
        <is>
          <t>KR 3.3</t>
        </is>
      </c>
      <c r="C12" s="10" t="inlineStr">
        <is>
          <t>Monthly Printify platform margin (leather category, post-pilot scale)</t>
        </is>
      </c>
      <c r="D12" s="34" t="inlineStr">
        <is>
          <t>$0/month leather platform margin (no genuine leather GMV on Printify today)</t>
        </is>
      </c>
      <c r="E12" s="15" t="inlineStr">
        <is>
          <t>$150K / month</t>
        </is>
      </c>
      <c r="F12" s="10" t="inlineStr">
        <is>
          <t>$340K investment requires ~$150K/mo run-rate to achieve the ~16-month payback (base case). Below $60K/mo at Month 3 = ROI thesis fails and investment is not recovered on schedule.</t>
        </is>
      </c>
      <c r="G12" s="35" t="inlineStr">
        <is>
          <t>10 Dec × 150 SKUs × 20 orders × $8 margin = $150K/mo target. Etsy category GMV proxy: $130K–$270K/week leather category (ShelfTrend 2025) supports 20/SKU base case. Shopify (MVP 2) adds incremental demand channel improving base-case achievability.</t>
        </is>
      </c>
      <c r="H12" s="11" t="inlineStr">
        <is>
          <t>Month 3</t>
        </is>
      </c>
      <c r="I12" s="11" t="inlineStr">
        <is>
          <t>⚪ Not started</t>
        </is>
      </c>
    </row>
    <row r="14" ht="5" customHeight="1"/>
    <row r="15" ht="16" customHeight="1">
      <c r="A15" s="3" t="inlineStr">
        <is>
          <t>2 · KPI Dashboard — Baseline → Pilot Target → Scale Target</t>
        </is>
      </c>
    </row>
    <row r="16" ht="28" customHeight="1">
      <c r="A16" s="4" t="inlineStr">
        <is>
          <t>KPI</t>
        </is>
      </c>
      <c r="B16" s="4" t="inlineStr">
        <is>
          <t>Baseline (FROM)</t>
        </is>
      </c>
      <c r="C16" s="4" t="inlineStr">
        <is>
          <t>Pilot target
(5 Dec · 150 SKUs)</t>
        </is>
      </c>
      <c r="D16" s="4" t="inlineStr">
        <is>
          <t>Scale target
(10+ Dec · 1,500 SKUs)</t>
        </is>
      </c>
      <c r="E16" s="4" t="inlineStr">
        <is>
          <t>Kill / Pause threshold</t>
        </is>
      </c>
      <c r="F16" s="4" t="inlineStr">
        <is>
          <t>Measurement method</t>
        </is>
      </c>
      <c r="G16" s="4" t="inlineStr">
        <is>
          <t>Why this threshold</t>
        </is>
      </c>
    </row>
    <row r="17" ht="40" customHeight="1">
      <c r="A17" s="9" t="inlineStr">
        <is>
          <t>Orders / SKU / month</t>
        </is>
      </c>
      <c r="B17" s="34" t="inlineStr">
        <is>
          <t>0 (no genuine leather today)</t>
        </is>
      </c>
      <c r="C17" s="15" t="inlineStr">
        <is>
          <t>≥ 20 (base) · ≥ 50 (opt)</t>
        </is>
      </c>
      <c r="D17" s="39" t="inlineStr">
        <is>
          <t>≥ 20 sustained</t>
        </is>
      </c>
      <c r="E17" s="40" t="inlineStr">
        <is>
          <t>&lt; 15 at Month 2 → KILL</t>
        </is>
      </c>
      <c r="F17" s="35" t="inlineStr">
        <is>
          <t>Platform order data · leather material_tier tag</t>
        </is>
      </c>
      <c r="G17" s="10" t="inlineStr">
        <is>
          <t>Etsy top-quartile leather: 15–25/SKU/mo. 20 = base-case ROI floor. &lt;15 = investment doesn't recover.</t>
        </is>
      </c>
    </row>
    <row r="18" ht="40" customHeight="1">
      <c r="A18" s="5" t="inlineStr">
        <is>
          <t>FTC MAT-001 auto-approve %</t>
        </is>
      </c>
      <c r="B18" s="37" t="inlineStr">
        <is>
          <t>0% (100% manual review today)</t>
        </is>
      </c>
      <c r="C18" s="15" t="inlineStr">
        <is>
          <t>≥ 88%</t>
        </is>
      </c>
      <c r="D18" s="19" t="inlineStr">
        <is>
          <t>≥ 88%</t>
        </is>
      </c>
      <c r="E18" s="41" t="inlineStr">
        <is>
          <t>FP rate &gt; 2% → PAUSE MVP 1</t>
        </is>
      </c>
      <c r="F18" s="38" t="inlineStr">
        <is>
          <t>Ingestion logs · MAT-001 classifier output</t>
        </is>
      </c>
      <c r="G18" s="6" t="inlineStr">
        <is>
          <t>At &lt;88%, ops cost exceeds $8 margin/order at scale. 88% = break-even ops headcount.</t>
        </is>
      </c>
    </row>
    <row r="19" ht="40" customHeight="1">
      <c r="A19" s="9" t="inlineStr">
        <is>
          <t>Decorator form error rate</t>
        </is>
      </c>
      <c r="B19" s="34" t="inlineStr">
        <is>
          <t>~20–35% (industry benchmark, no AI assist)</t>
        </is>
      </c>
      <c r="C19" s="15" t="inlineStr">
        <is>
          <t>&lt; 10%</t>
        </is>
      </c>
      <c r="D19" s="39" t="inlineStr">
        <is>
          <t>&lt; 10%</t>
        </is>
      </c>
      <c r="E19" s="10" t="inlineStr">
        <is>
          <t>&gt; 20% → redesign portal + AI flow</t>
        </is>
      </c>
      <c r="F19" s="35" t="inlineStr">
        <is>
          <t>Portal submission logs (rejected / total)</t>
        </is>
      </c>
      <c r="G19" s="10" t="inlineStr">
        <is>
          <t>&gt;20% → manual Ops queue → each review costs ~$40 vs. $8 margin. Unit economics collapse.</t>
        </is>
      </c>
    </row>
    <row r="20" ht="40" customHeight="1">
      <c r="A20" s="5" t="inlineStr">
        <is>
          <t>Decorator onboarding time</t>
        </is>
      </c>
      <c r="B20" s="37" t="inlineStr">
        <is>
          <t>No leather portal · est. 3–5 days via email</t>
        </is>
      </c>
      <c r="C20" s="15" t="inlineStr">
        <is>
          <t>&lt; 24 hours</t>
        </is>
      </c>
      <c r="D20" s="19" t="inlineStr">
        <is>
          <t>&lt; 24 hours</t>
        </is>
      </c>
      <c r="E20" s="6" t="inlineStr">
        <is>
          <t>&gt; 48h avg → UX rework</t>
        </is>
      </c>
      <c r="F20" s="38" t="inlineStr">
        <is>
          <t>Portal timestamp (form start → first approved blueprint)</t>
        </is>
      </c>
      <c r="G20" s="6" t="inlineStr">
        <is>
          <t>Long onboarding → abandonment → supply bottleneck. 24h achievable with AI field-assist pre-fill.</t>
        </is>
      </c>
    </row>
    <row r="21" ht="40" customHeight="1">
      <c r="A21" s="9" t="inlineStr">
        <is>
          <t>Monthly platform margin</t>
        </is>
      </c>
      <c r="B21" s="34" t="inlineStr">
        <is>
          <t>$0 (no leather GMV today)</t>
        </is>
      </c>
      <c r="C21" s="15" t="inlineStr">
        <is>
          <t>$24K (pilot: 150 SKUs base case)</t>
        </is>
      </c>
      <c r="D21" s="39" t="inlineStr">
        <is>
          <t>$150K (base) / $375K (opt)</t>
        </is>
      </c>
      <c r="E21" s="10" t="inlineStr">
        <is>
          <t>&lt; $10K at Month 3 → re-evaluate ROI</t>
        </is>
      </c>
      <c r="F21" s="35" t="inlineStr">
        <is>
          <t>GMV dashboard · leather category tag</t>
        </is>
      </c>
      <c r="G21" s="10" t="inlineStr">
        <is>
          <t>$150K/mo = $340K investment payback in ~16 months. Below $60K/mo = ROI thesis fails.</t>
        </is>
      </c>
    </row>
    <row r="22" ht="40" customHeight="1">
      <c r="A22" s="5" t="inlineStr">
        <is>
          <t>Active catalog SKUs</t>
        </is>
      </c>
      <c r="B22" s="37" t="inlineStr">
        <is>
          <t>0 genuine leather SKUs (catalog audit confirmed)</t>
        </is>
      </c>
      <c r="C22" s="15" t="inlineStr">
        <is>
          <t>150 SKUs before marketplace launch</t>
        </is>
      </c>
      <c r="D22" s="19" t="inlineStr">
        <is>
          <t>1,500 SKUs at scale</t>
        </is>
      </c>
      <c r="E22" s="6" t="inlineStr">
        <is>
          <t>&lt; 100 at MVP 2 Gate → delay launch</t>
        </is>
      </c>
      <c r="F22" s="38" t="inlineStr">
        <is>
          <t>Blueprint DB · material_tier ≠ null</t>
        </is>
      </c>
      <c r="G22" s="6" t="inlineStr">
        <is>
          <t>Etsy/Amazon need ~100+ listings for organic indexing signal. Shopify signal available from W12 regardless.</t>
        </is>
      </c>
    </row>
    <row r="23" ht="40" customHeight="1">
      <c r="A23" s="9" t="inlineStr">
        <is>
          <t>Merchant listing rate</t>
        </is>
      </c>
      <c r="B23" s="34" t="inlineStr">
        <is>
          <t>N/A (no leather portal or supply path today)</t>
        </is>
      </c>
      <c r="C23" s="15" t="inlineStr">
        <is>
          <t>≥ 60% of enrolled Decorators</t>
        </is>
      </c>
      <c r="D23" s="39" t="inlineStr">
        <is>
          <t>≥ 70%</t>
        </is>
      </c>
      <c r="E23" s="10" t="inlineStr">
        <is>
          <t>&lt; 40% → supply conversion problem</t>
        </is>
      </c>
      <c r="F23" s="35" t="inlineStr">
        <is>
          <t>Enrolled Decorators → active listings ratio</t>
        </is>
      </c>
      <c r="G23" s="10" t="inlineStr">
        <is>
          <t>&lt;40% suggests friction in portal UX or SKU quality review. Triggers redesign before scaling.</t>
        </is>
      </c>
    </row>
    <row r="24" ht="40" customHeight="1">
      <c r="A24" s="5" t="inlineStr">
        <is>
          <t>Platform margin / order</t>
        </is>
      </c>
      <c r="B24" s="37" t="inlineStr">
        <is>
          <t>$5/order (apparel average on Printify)</t>
        </is>
      </c>
      <c r="C24" s="15" t="inlineStr">
        <is>
          <t>$8 target</t>
        </is>
      </c>
      <c r="D24" s="19" t="inlineStr">
        <is>
          <t>$8</t>
        </is>
      </c>
      <c r="E24" s="6" t="inlineStr">
        <is>
          <t>Below $6 → renegotiate supplier pricing</t>
        </is>
      </c>
      <c r="F24" s="38" t="inlineStr">
        <is>
          <t>Order margin report · leather category filter</t>
        </is>
      </c>
      <c r="G24" s="6" t="inlineStr">
        <is>
          <t>$8 reflects premium AOV ($40–$80) vs apparel ($18–$25). Supplier SLA locks $8 at PoC Gate 0.</t>
        </is>
      </c>
    </row>
    <row r="26" ht="5" customHeight="1"/>
    <row r="27" ht="16" customHeight="1">
      <c r="A27" s="3" t="inlineStr">
        <is>
          <t>3 · Decision Gates (Go / Kill / Pause)</t>
        </is>
      </c>
    </row>
    <row r="28" ht="28" customHeight="1">
      <c r="A28" s="4" t="inlineStr">
        <is>
          <t>Gate</t>
        </is>
      </c>
      <c r="B28" s="4" t="inlineStr">
        <is>
          <t>Timing</t>
        </is>
      </c>
      <c r="C28" s="4" t="inlineStr">
        <is>
          <t>Success threshold</t>
        </is>
      </c>
      <c r="D28" s="4" t="inlineStr">
        <is>
          <t>GO — Action if met</t>
        </is>
      </c>
      <c r="E28" s="4" t="inlineStr">
        <is>
          <t>KILL/PAUSE — Action if unmet</t>
        </is>
      </c>
      <c r="F28" s="4" t="inlineStr">
        <is>
          <t>$ at risk</t>
        </is>
      </c>
      <c r="G28" s="4" t="inlineStr">
        <is>
          <t>Rationale</t>
        </is>
      </c>
    </row>
    <row r="29" ht="30" customHeight="1">
      <c r="A29" s="9" t="inlineStr">
        <is>
          <t>Gate 0 · PoC</t>
        </is>
      </c>
      <c r="B29" s="10" t="inlineStr">
        <is>
          <t>W0</t>
        </is>
      </c>
      <c r="C29" s="10" t="inlineStr">
        <is>
          <t>≥ 5 Signed Decorator LOIs + Supplier SLA confirmed</t>
        </is>
      </c>
      <c r="D29" s="42" t="inlineStr">
        <is>
          <t>Approve ~$20K Design Sprint</t>
        </is>
      </c>
      <c r="E29" s="43" t="inlineStr">
        <is>
          <t>CANCEL — $0 engineering spent</t>
        </is>
      </c>
      <c r="F29" s="10" t="inlineStr">
        <is>
          <t>$0</t>
        </is>
      </c>
      <c r="G29" s="10" t="inlineStr">
        <is>
          <t>Demand signal before any code. PoC costs nothing — wrong to skip it.</t>
        </is>
      </c>
    </row>
    <row r="30" ht="30" customHeight="1">
      <c r="A30" s="5" t="inlineStr">
        <is>
          <t>Gate 1 · MVP 2</t>
        </is>
      </c>
      <c r="B30" s="6" t="inlineStr">
        <is>
          <t>W16</t>
        </is>
      </c>
      <c r="C30" s="6" t="inlineStr">
        <is>
          <t>150 valid leather SKUs created · portal error rate &lt; 10%</t>
        </is>
      </c>
      <c r="D30" s="44" t="inlineStr">
        <is>
          <t>Proceed to Marketplace build</t>
        </is>
      </c>
      <c r="E30" s="41" t="inlineStr">
        <is>
          <t>PAUSE — redesign portal UI + AI field-assist flow</t>
        </is>
      </c>
      <c r="F30" s="6" t="inlineStr">
        <is>
          <t>~$220K</t>
        </is>
      </c>
      <c r="G30" s="6" t="inlineStr">
        <is>
          <t>Supply readiness before marketplace spend. No point launching 0 SKUs to Etsy/Amazon.</t>
        </is>
      </c>
    </row>
    <row r="31" ht="30" customHeight="1">
      <c r="A31" s="45" t="inlineStr">
        <is>
          <t>Gate 2 · M2</t>
        </is>
      </c>
      <c r="B31" s="46" t="inlineStr">
        <is>
          <t>Month 2 post-M0</t>
        </is>
      </c>
      <c r="C31" s="46" t="inlineStr">
        <is>
          <t>≥ 20 orders / SKU / month (organic, all channels)</t>
        </is>
      </c>
      <c r="D31" s="47" t="inlineStr">
        <is>
          <t>FULL SCALE to 1,500+ SKUs</t>
        </is>
      </c>
      <c r="E31" s="40" t="inlineStr">
        <is>
          <t>KILL (&lt; 15) — halt &amp; reallocate team</t>
        </is>
      </c>
      <c r="F31" s="46" t="inlineStr">
        <is>
          <t>~$340K</t>
        </is>
      </c>
      <c r="G31" s="46" t="inlineStr">
        <is>
          <t>Shopify: immediate signal from W12. Etsy/Amazon: 30-day indexing delay → M2 is first clean read. M1 = launch noise.</t>
        </is>
      </c>
    </row>
    <row r="33" ht="24" customHeight="1">
      <c r="A33" s="29" t="inlineStr">
        <is>
          <t>⚠ Shopify (MVP 2, W12 pilot): immediate indexing — no algorithm delay. Etsy and Amazon: ~30 days to surface new SKUs organically. Month 1 contains launch noise on marketplace channels — Month 2 is the first clean, comparable signal across all 3 channels.</t>
        </is>
      </c>
    </row>
    <row r="35" customHeight="1">
      <c r="A35" t="inlineStr">
        <is>
          <t>Scenario</t>
        </is>
      </c>
      <c r="B35" t="inlineStr">
        <is>
          <t>Monthly Margin $K</t>
        </is>
      </c>
      <c r="C35" t="inlineStr">
        <is>
          <t>Annual Run-Rate $K</t>
        </is>
      </c>
    </row>
    <row r="36" customHeight="1">
      <c r="A36" t="inlineStr">
        <is>
          <t>Conservative (8/SKU)</t>
        </is>
      </c>
      <c r="B36" t="n">
        <v>60</v>
      </c>
      <c r="C36" t="n">
        <v>720</v>
      </c>
    </row>
    <row r="37" customHeight="1">
      <c r="A37" t="inlineStr">
        <is>
          <t>Base Case (20/SKU)</t>
        </is>
      </c>
      <c r="B37" t="n">
        <v>150</v>
      </c>
      <c r="C37" t="n">
        <v>1800</v>
      </c>
    </row>
    <row r="38" customHeight="1">
      <c r="A38" t="inlineStr">
        <is>
          <t>Optimistic (50/SKU)</t>
        </is>
      </c>
      <c r="B38" t="n">
        <v>375</v>
      </c>
      <c r="C38" t="n">
        <v>4500</v>
      </c>
    </row>
  </sheetData>
  <mergeCells count="6">
    <mergeCell ref="A15:I15"/>
    <mergeCell ref="A2:I2"/>
    <mergeCell ref="A33:I33"/>
    <mergeCell ref="A1:I1"/>
    <mergeCell ref="A27:I27"/>
    <mergeCell ref="A4:I4"/>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7"/>
  <sheetViews>
    <sheetView showGridLines="0" workbookViewId="0">
      <pane ySplit="2" topLeftCell="A3" activePane="bottomLeft" state="frozen"/>
      <selection pane="bottomLeft" activeCell="A1" sqref="A1"/>
    </sheetView>
  </sheetViews>
  <sheetFormatPr baseColWidth="8" defaultRowHeight="15"/>
  <cols>
    <col width="26" customWidth="1" min="1" max="1"/>
    <col width="18" customWidth="1" min="2" max="2"/>
    <col width="50" customWidth="1" min="3" max="3"/>
    <col width="4" customWidth="1" min="4" max="4"/>
    <col width="4" customWidth="1" min="5" max="5"/>
    <col width="4" customWidth="1" min="6" max="6"/>
  </cols>
  <sheetData>
    <row r="1" ht="16" customHeight="1">
      <c r="A1" s="3" t="inlineStr">
        <is>
          <t>📊  Proxy Data · Sources · Metric Gaps — Premium Leather PRD</t>
        </is>
      </c>
    </row>
    <row r="2" ht="5" customHeight="1"/>
    <row r="3" ht="16" customHeight="1">
      <c r="A3" s="3" t="inlineStr">
        <is>
          <t>1. Market Demand Signals (USA)</t>
        </is>
      </c>
    </row>
    <row r="4" ht="28" customHeight="1">
      <c r="A4" s="4" t="inlineStr">
        <is>
          <t>Signal</t>
        </is>
      </c>
      <c r="B4" s="4" t="inlineStr">
        <is>
          <t>Platform</t>
        </is>
      </c>
      <c r="C4" s="4" t="inlineStr">
        <is>
          <t>Value / Data point</t>
        </is>
      </c>
      <c r="D4" s="4" t="inlineStr">
        <is>
          <t>Source</t>
        </is>
      </c>
      <c r="E4" s="4" t="inlineStr">
        <is>
          <t>Confidence</t>
        </is>
      </c>
      <c r="F4" s="4" t="inlineStr">
        <is>
          <t>Gap / Assumption</t>
        </is>
      </c>
    </row>
    <row r="5">
      <c r="A5" s="9" t="inlineStr">
        <is>
          <t>"custom leather wallet" keyword rank</t>
        </is>
      </c>
      <c r="B5" s="10" t="inlineStr">
        <is>
          <t>Etsy USA</t>
        </is>
      </c>
      <c r="C5" s="10" t="inlineStr">
        <is>
          <t>#215 top search term · $35–$70 AOV · 125%+ CTR</t>
        </is>
      </c>
      <c r="D5" s="48">
        <f>HYPERLINK("https://shelftrend.com","ShelfTrend 2025")</f>
        <v/>
      </c>
      <c r="E5" s="10" t="inlineStr">
        <is>
          <t>Medium</t>
        </is>
      </c>
      <c r="F5" s="10" t="inlineStr">
        <is>
          <t>Rank fluctuates; not exclusive to POD buyers</t>
        </is>
      </c>
    </row>
    <row r="6">
      <c r="A6" s="5" t="inlineStr">
        <is>
          <t>"personalized leather bag" weekly GMV</t>
        </is>
      </c>
      <c r="B6" s="6" t="inlineStr">
        <is>
          <t>Etsy USA</t>
        </is>
      </c>
      <c r="C6" s="6" t="inlineStr">
        <is>
          <t>$130K–$270K / week</t>
        </is>
      </c>
      <c r="D6" s="49">
        <f>HYPERLINK("https://shelftrend.com","ShelfTrend 2025")</f>
        <v/>
      </c>
      <c r="E6" s="6" t="inlineStr">
        <is>
          <t>Medium</t>
        </is>
      </c>
      <c r="F6" s="6" t="inlineStr">
        <is>
          <t>Aggregated across all sellers — POD share unknown</t>
        </is>
      </c>
    </row>
    <row r="7">
      <c r="A7" s="9" t="inlineStr">
        <is>
          <t>Top leather wallet SKU monthly units</t>
        </is>
      </c>
      <c r="B7" s="10" t="inlineStr">
        <is>
          <t>Amazon USA</t>
        </is>
      </c>
      <c r="C7" s="10" t="inlineStr">
        <is>
          <t>BULLIANT wallet — 8,365 units / month (BSR rank)</t>
        </is>
      </c>
      <c r="D7" s="48">
        <f>HYPERLINK("https://www.accio.com/business/amazon-mens-wallet-best-seller","accio.com 2025")</f>
        <v/>
      </c>
      <c r="E7" s="10" t="inlineStr">
        <is>
          <t>Medium</t>
        </is>
      </c>
      <c r="F7" s="10" t="inlineStr">
        <is>
          <t>Single mature listing proxy — new POD SKU enters at 5–20/mo</t>
        </is>
      </c>
    </row>
    <row r="8">
      <c r="A8" s="5" t="inlineStr">
        <is>
          <t>USA leather goods market size</t>
        </is>
      </c>
      <c r="B8" s="6" t="inlineStr">
        <is>
          <t>TAM</t>
        </is>
      </c>
      <c r="C8" s="6" t="inlineStr">
        <is>
          <t>$54.26B total · 6.7% CAGR · custom/POD ~$2B addressable (est.)</t>
        </is>
      </c>
      <c r="D8" s="49">
        <f>HYPERLINK("https://www.novaoneadvisor.com/report/us-leather-goods-market","Nova One Advisor 2025")</f>
        <v/>
      </c>
      <c r="E8" s="41" t="inlineStr">
        <is>
          <t>Low–Medium</t>
        </is>
      </c>
      <c r="F8" s="6" t="inlineStr">
        <is>
          <t>POD share is our estimate; no public split available</t>
        </is>
      </c>
    </row>
    <row r="9">
      <c r="A9" s="9" t="inlineStr">
        <is>
          <t>Printify current leather products</t>
        </is>
      </c>
      <c r="B9" s="10" t="inlineStr">
        <is>
          <t>Printify catalog</t>
        </is>
      </c>
      <c r="C9" s="10" t="inlineStr">
        <is>
          <t>~45 products — 100% synthetic PU / faux / vegan</t>
        </is>
      </c>
      <c r="D9" s="10" t="inlineStr">
        <is>
          <t>Internal catalog audit</t>
        </is>
      </c>
      <c r="E9" s="10" t="inlineStr">
        <is>
          <t>High</t>
        </is>
      </c>
      <c r="F9" s="10" t="inlineStr">
        <is>
          <t>$0 genuine leather today — confirmed gap</t>
        </is>
      </c>
    </row>
    <row r="10">
      <c r="A10" s="5" t="inlineStr">
        <is>
          <t>Premium leather AOV range</t>
        </is>
      </c>
      <c r="B10" s="6" t="inlineStr">
        <is>
          <t>Etsy / Amazon</t>
        </is>
      </c>
      <c r="C10" s="6" t="inlineStr">
        <is>
          <t>$35–$80 (vs. $18–$25 apparel)</t>
        </is>
      </c>
      <c r="D10" s="6" t="inlineStr">
        <is>
          <t>Category benchmarks</t>
        </is>
      </c>
      <c r="E10" s="6" t="inlineStr">
        <is>
          <t>Medium</t>
        </is>
      </c>
      <c r="F10" s="6" t="inlineStr">
        <is>
          <t>AOV proxy; actual margin depends on COGS and decorator pricing</t>
        </is>
      </c>
    </row>
    <row r="11">
      <c r="A11" s="9" t="inlineStr">
        <is>
          <t>"leather" Etsy USA keyword rank · seasonal growth</t>
        </is>
      </c>
      <c r="B11" s="10" t="inlineStr">
        <is>
          <t>Etsy USA</t>
        </is>
      </c>
      <c r="C11" s="10" t="inlineStr">
        <is>
          <t>#215 top keyword · +57% search volume growth Nov–Dec (gifting peak)</t>
        </is>
      </c>
      <c r="D11" s="48">
        <f>HYPERLINK("https://erank.com","eRank 2025")</f>
        <v/>
      </c>
      <c r="E11" s="10" t="inlineStr">
        <is>
          <t>Medium</t>
        </is>
      </c>
      <c r="F11" s="10" t="inlineStr">
        <is>
          <t>Seasonal signal; search ≠ confirmed purchase intent</t>
        </is>
      </c>
    </row>
    <row r="12">
      <c r="A12" s="5" t="inlineStr">
        <is>
          <t>PrintKK competitor — genuine leather MOQ</t>
        </is>
      </c>
      <c r="B12" s="6" t="inlineStr">
        <is>
          <t>PrintKK</t>
        </is>
      </c>
      <c r="C12" s="6" t="inlineStr">
        <is>
          <t>50-unit minimum order · no taxonomy fields · no FTC compliance</t>
        </is>
      </c>
      <c r="D12" s="49">
        <f>HYPERLINK("https://printkk.com","Public pricing (printKK.com)")</f>
        <v/>
      </c>
      <c r="E12" s="6" t="inlineStr">
        <is>
          <t>High</t>
        </is>
      </c>
      <c r="F12" s="6" t="inlineStr">
        <is>
          <t>Direct-observation gap: Printify 1-unit MOQ = structural differentiator</t>
        </is>
      </c>
    </row>
    <row r="13">
      <c r="A13" s="9" t="inlineStr">
        <is>
          <t>High-GMV Decorators routing to PrintKK / direct</t>
        </is>
      </c>
      <c r="B13" s="10" t="inlineStr">
        <is>
          <t>Outreach assumption</t>
        </is>
      </c>
      <c r="C13" s="10" t="inlineStr">
        <is>
          <t>Unconfirmed — PoC LOI outreach will validate</t>
        </is>
      </c>
      <c r="D13" s="10" t="inlineStr">
        <is>
          <t>PM hypothesis</t>
        </is>
      </c>
      <c r="E13" s="43" t="inlineStr">
        <is>
          <t>Low</t>
        </is>
      </c>
      <c r="F13" s="10" t="inlineStr">
        <is>
          <t>PoC Gate 0 is the first hard data point</t>
        </is>
      </c>
    </row>
    <row r="15" ht="5" customHeight="1"/>
    <row r="16" ht="16" customHeight="1">
      <c r="A16" s="3" t="inlineStr">
        <is>
          <t>2. Pilot Math — How the Base Case Is Calculated</t>
        </is>
      </c>
    </row>
    <row r="17" ht="28" customHeight="1">
      <c r="A17" s="4" t="inlineStr">
        <is>
          <t>Variable</t>
        </is>
      </c>
      <c r="B17" s="4" t="inlineStr">
        <is>
          <t>Value</t>
        </is>
      </c>
      <c r="C17" s="4" t="inlineStr">
        <is>
          <t>Formula / Explanation</t>
        </is>
      </c>
      <c r="D17" s="4" t="inlineStr"/>
      <c r="E17" s="4" t="inlineStr"/>
      <c r="F17" s="4" t="inlineStr"/>
    </row>
    <row r="18">
      <c r="A18" s="9" t="inlineStr">
        <is>
          <t>Pilot Decorators</t>
        </is>
      </c>
      <c r="B18" s="24" t="inlineStr">
        <is>
          <t>5</t>
        </is>
      </c>
      <c r="C18" s="50" t="inlineStr">
        <is>
          <t>PoC outreach: 50 existing Printify customers → ~10% conversion → ≥ 5 LOIs</t>
        </is>
      </c>
      <c r="D18" s="31" t="n"/>
      <c r="E18" s="31" t="n"/>
      <c r="F18" s="32" t="n"/>
    </row>
    <row r="19">
      <c r="A19" s="5" t="inlineStr">
        <is>
          <t>SKUs per Decorator</t>
        </is>
      </c>
      <c r="B19" s="22" t="inlineStr">
        <is>
          <t>30</t>
        </is>
      </c>
      <c r="C19" s="51" t="inlineStr">
        <is>
          <t>Each Decorator lists 30 products (wallets, bags, journals, belts)</t>
        </is>
      </c>
      <c r="D19" s="31" t="n"/>
      <c r="E19" s="31" t="n"/>
      <c r="F19" s="32" t="n"/>
    </row>
    <row r="20">
      <c r="A20" s="9" t="inlineStr">
        <is>
          <t>Total pilot SKUs</t>
        </is>
      </c>
      <c r="B20" s="24" t="inlineStr">
        <is>
          <t>150</t>
        </is>
      </c>
      <c r="C20" s="50" t="inlineStr">
        <is>
          <t>5 × 30 = 150 · minimum for marketplace algorithm indexing</t>
        </is>
      </c>
      <c r="D20" s="31" t="n"/>
      <c r="E20" s="31" t="n"/>
      <c r="F20" s="32" t="n"/>
    </row>
    <row r="21">
      <c r="A21" s="5" t="inlineStr">
        <is>
          <t>Platform margin / order</t>
        </is>
      </c>
      <c r="B21" s="27" t="inlineStr">
        <is>
          <t>$8</t>
        </is>
      </c>
      <c r="C21" s="51" t="inlineStr">
        <is>
          <t>Premium leather AOV $45–65 supports $8 vs. standard $5 for apparel</t>
        </is>
      </c>
      <c r="D21" s="31" t="n"/>
      <c r="E21" s="31" t="n"/>
      <c r="F21" s="32" t="n"/>
    </row>
    <row r="22">
      <c r="A22" s="9" t="inlineStr">
        <is>
          <t>Orders/SKU/month (base)</t>
        </is>
      </c>
      <c r="B22" s="24" t="inlineStr">
        <is>
          <t>20</t>
        </is>
      </c>
      <c r="C22" s="50" t="inlineStr">
        <is>
          <t>Top-quartile Etsy leather sellers proxy (kill threshold = &lt; 15 at Month 2)</t>
        </is>
      </c>
      <c r="D22" s="31" t="n"/>
      <c r="E22" s="31" t="n"/>
      <c r="F22" s="32" t="n"/>
    </row>
    <row r="23">
      <c r="A23" s="5" t="inlineStr">
        <is>
          <t>Monthly orders (pilot)</t>
        </is>
      </c>
      <c r="B23" s="22" t="inlineStr">
        <is>
          <t>3,000</t>
        </is>
      </c>
      <c r="C23" s="51" t="inlineStr">
        <is>
          <t>150 SKUs × 20 orders = 3,000 orders/month</t>
        </is>
      </c>
      <c r="D23" s="31" t="n"/>
      <c r="E23" s="31" t="n"/>
      <c r="F23" s="32" t="n"/>
    </row>
    <row r="24">
      <c r="A24" s="9" t="inlineStr">
        <is>
          <t>Monthly margin (pilot)</t>
        </is>
      </c>
      <c r="B24" s="28" t="inlineStr">
        <is>
          <t>$24,000</t>
        </is>
      </c>
      <c r="C24" s="50" t="inlineStr">
        <is>
          <t>3,000 orders × $8 = $24K/month during pilot phase</t>
        </is>
      </c>
      <c r="D24" s="31" t="n"/>
      <c r="E24" s="31" t="n"/>
      <c r="F24" s="32" t="n"/>
    </row>
    <row r="25">
      <c r="A25" s="5" t="inlineStr">
        <is>
          <t>Monthly margin (full scale)</t>
        </is>
      </c>
      <c r="B25" s="27" t="inlineStr">
        <is>
          <t>$150,000</t>
        </is>
      </c>
      <c r="C25" s="51" t="inlineStr">
        <is>
          <t>10 Decorators × 150 SKUs × 20 orders × $8 = $150K/month</t>
        </is>
      </c>
      <c r="D25" s="31" t="n"/>
      <c r="E25" s="31" t="n"/>
      <c r="F25" s="32" t="n"/>
    </row>
    <row r="26">
      <c r="A26" s="9" t="inlineStr">
        <is>
          <t>Annual run-rate (base)</t>
        </is>
      </c>
      <c r="B26" s="28" t="inlineStr">
        <is>
          <t>$1,800,000</t>
        </is>
      </c>
      <c r="C26" s="50" t="inlineStr">
        <is>
          <t>$150K/month × 12 months</t>
        </is>
      </c>
      <c r="D26" s="31" t="n"/>
      <c r="E26" s="31" t="n"/>
      <c r="F26" s="32" t="n"/>
    </row>
    <row r="27">
      <c r="A27" s="5" t="inlineStr">
        <is>
          <t>Total investment</t>
        </is>
      </c>
      <c r="B27" s="27" t="inlineStr">
        <is>
          <t>$340,000</t>
        </is>
      </c>
      <c r="C27" s="51" t="inlineStr">
        <is>
          <t>PoC $0 + Design Sprint $20K + MVP 1 $80K + MVP 2 $120K + MVP 3 $120K</t>
        </is>
      </c>
      <c r="D27" s="31" t="n"/>
      <c r="E27" s="31" t="n"/>
      <c r="F27" s="32" t="n"/>
    </row>
    <row r="28">
      <c r="A28" s="9" t="inlineStr">
        <is>
          <t>Payback period (base)</t>
        </is>
      </c>
      <c r="B28" s="28" t="inlineStr">
        <is>
          <t>~15–17 months</t>
        </is>
      </c>
      <c r="C28" s="50" t="inlineStr">
        <is>
          <t>$340K investment ÷ ramping margin — reaches positive at ~Month 15–17</t>
        </is>
      </c>
      <c r="D28" s="31" t="n"/>
      <c r="E28" s="31" t="n"/>
      <c r="F28" s="32" t="n"/>
    </row>
    <row r="30" ht="24" customHeight="1">
      <c r="A30" s="29" t="inlineStr">
        <is>
          <t>⚠ All proxy data from public sources (ShelfTrend, accio.com, Nova One Advisor, 2025). PoC LOIs and supplier SLAs are the first real data points — Gate 0 validates or kills the initiative before any engineering spend.</t>
        </is>
      </c>
    </row>
    <row r="32" customHeight="1">
      <c r="A32" t="inlineStr">
        <is>
          <t>Timepoint</t>
        </is>
      </c>
      <c r="B32" t="inlineStr">
        <is>
          <t>Conservative (8/SKU)</t>
        </is>
      </c>
      <c r="C32" t="inlineStr">
        <is>
          <t>Base Case (20/SKU)</t>
        </is>
      </c>
      <c r="D32" t="inlineStr">
        <is>
          <t>Optimistic (50/SKU)</t>
        </is>
      </c>
    </row>
    <row r="33" customHeight="1">
      <c r="A33" t="inlineStr">
        <is>
          <t>W16 Shopify G1</t>
        </is>
      </c>
      <c r="B33" t="n">
        <v>3</v>
      </c>
      <c r="C33" t="n">
        <v>8</v>
      </c>
      <c r="D33" t="n">
        <v>14</v>
      </c>
    </row>
    <row r="34" customHeight="1">
      <c r="A34" t="inlineStr">
        <is>
          <t>M0 Launch</t>
        </is>
      </c>
      <c r="B34" t="n">
        <v>2</v>
      </c>
      <c r="C34" t="n">
        <v>4</v>
      </c>
      <c r="D34" t="n">
        <v>5</v>
      </c>
    </row>
    <row r="35" customHeight="1">
      <c r="A35" t="inlineStr">
        <is>
          <t>Month 1</t>
        </is>
      </c>
      <c r="B35" t="n">
        <v>6</v>
      </c>
      <c r="C35" t="n">
        <v>15</v>
      </c>
      <c r="D35" t="n">
        <v>35</v>
      </c>
    </row>
    <row r="36" customHeight="1">
      <c r="A36" t="inlineStr">
        <is>
          <t>Month 2 ◆</t>
        </is>
      </c>
      <c r="B36" t="n">
        <v>8</v>
      </c>
      <c r="C36" t="n">
        <v>22</v>
      </c>
      <c r="D36" t="n">
        <v>50</v>
      </c>
    </row>
    <row r="37" customHeight="1">
      <c r="A37" t="inlineStr">
        <is>
          <t>Month 3</t>
        </is>
      </c>
      <c r="B37" t="n">
        <v>8</v>
      </c>
      <c r="C37" t="n">
        <v>25</v>
      </c>
      <c r="D37" t="n">
        <v>60</v>
      </c>
    </row>
  </sheetData>
  <mergeCells count="15">
    <mergeCell ref="C22:F22"/>
    <mergeCell ref="A16:F16"/>
    <mergeCell ref="C18:F18"/>
    <mergeCell ref="A30:F30"/>
    <mergeCell ref="C23:F23"/>
    <mergeCell ref="A1:F1"/>
    <mergeCell ref="C20:F20"/>
    <mergeCell ref="C26:F26"/>
    <mergeCell ref="C27:F27"/>
    <mergeCell ref="C21:F21"/>
    <mergeCell ref="C25:F25"/>
    <mergeCell ref="A3:F3"/>
    <mergeCell ref="C19:F19"/>
    <mergeCell ref="C24:F24"/>
    <mergeCell ref="C28:F28"/>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93"/>
  <sheetViews>
    <sheetView showGridLines="0" workbookViewId="0">
      <pane ySplit="2" topLeftCell="A3" activePane="bottomLeft" state="frozen"/>
      <selection pane="bottomLeft" activeCell="A1" sqref="A1"/>
    </sheetView>
  </sheetViews>
  <sheetFormatPr baseColWidth="8" defaultRowHeight="15"/>
  <cols>
    <col width="22" customWidth="1" min="1" max="1"/>
    <col width="18" customWidth="1" min="2" max="2"/>
    <col width="20" customWidth="1" min="3" max="3"/>
    <col width="18" customWidth="1" min="4" max="4"/>
    <col width="40" customWidth="1" min="5" max="5"/>
    <col width="12" customWidth="1" min="6" max="6"/>
    <col width="20" customWidth="1" min="7" max="7"/>
  </cols>
  <sheetData>
    <row r="1" ht="16" customHeight="1">
      <c r="A1" s="3" t="inlineStr">
        <is>
          <t>💰  Business Case — Premium Leather Goods · Complete View</t>
        </is>
      </c>
    </row>
    <row r="2" ht="80" customHeight="1">
      <c r="A2" s="30" t="inlineStr">
        <is>
          <t>WHAT THIS DOCUMENT IS — A complete, standalone business case for the Premium Leather Goods initiative. It covers the full market opportunity (TAM → SAM → SOM), the first-mover rationale, investment phasing, revenue scenarios under 3 demand assumptions, decision gates with explicit kill criteria, and a final ROI summary.
HOW TO USE IT — Section 1 sizes the market and defines the revenue ceiling. Section 2 explains why acting now (not in 12 months) is the right call. Section 3 shows where the $340K goes and what each phase must deliver to proceed. Section 4 maps the 3 financial scenarios (Conservative / Base / Optimistic) to the $8/order margin model. Section 5 defines the 3 decision gates — each with a GO and a KILL path and the $ at risk if we wait. Section 6 provides the ROI at a glance across all horizons (pilot → Year 2 → Year 5 leadership).</t>
        </is>
      </c>
      <c r="B2" s="31" t="n"/>
      <c r="C2" s="31" t="n"/>
      <c r="D2" s="31" t="n"/>
      <c r="E2" s="31" t="n"/>
      <c r="F2" s="31" t="n"/>
      <c r="G2" s="32" t="n"/>
    </row>
    <row r="3" ht="16" customHeight="1">
      <c r="A3" s="3" t="inlineStr">
        <is>
          <t>0. Core Hypothesis</t>
        </is>
      </c>
    </row>
    <row r="4" ht="52" customHeight="1">
      <c r="A4" s="52" t="inlineStr">
        <is>
          <t>Decorators serving the USA personalized gifting market ($40–$80 AOV) cannot list genuine leather products on Printify today, forcing them to route premium transactions to PrintKK — despite its 50-unit MOQ. If we fix the taxonomy (MAT-001) and add laser engraving with 1-unit MOQ, they will consolidate their leather spend on Printify, validated at ≥$150K GMV/month within 90 days of launch.</t>
        </is>
      </c>
      <c r="B4" s="31" t="n"/>
      <c r="C4" s="31" t="n"/>
      <c r="D4" s="31" t="n"/>
      <c r="E4" s="31" t="n"/>
      <c r="F4" s="31" t="n"/>
      <c r="G4" s="32" t="n"/>
    </row>
    <row r="5" ht="5" customHeight="1"/>
    <row r="6" ht="16" customHeight="1">
      <c r="A6" s="3" t="inlineStr">
        <is>
          <t>1. Market Opportunity — TAM · SAM · SOM (US Personalized Leather)</t>
        </is>
      </c>
    </row>
    <row r="7" ht="28" customHeight="1">
      <c r="A7" s="4" t="inlineStr">
        <is>
          <t>Level</t>
        </is>
      </c>
      <c r="B7" s="4" t="inlineStr">
        <is>
          <t>Horizon</t>
        </is>
      </c>
      <c r="C7" s="4" t="inlineStr">
        <is>
          <t>GMV / yr</t>
        </is>
      </c>
      <c r="D7" s="4" t="inlineStr">
        <is>
          <t>Platform margin / yr</t>
        </is>
      </c>
      <c r="E7" s="4" t="inlineStr">
        <is>
          <t>Basis</t>
        </is>
      </c>
      <c r="F7" s="4" t="inlineStr">
        <is>
          <t>Status</t>
        </is>
      </c>
    </row>
    <row r="8" ht="30" customHeight="1">
      <c r="A8" s="5" t="inlineStr">
        <is>
          <t>TAM</t>
        </is>
      </c>
      <c r="B8" s="6" t="inlineStr">
        <is>
          <t>Total US personalized leather (POD-addressable)</t>
        </is>
      </c>
      <c r="C8" s="7" t="inlineStr">
        <is>
          <t>$2.5B / yr</t>
        </is>
      </c>
      <c r="D8" s="7" t="inlineStr">
        <is>
          <t>—</t>
        </is>
      </c>
      <c r="E8" s="8" t="inlineStr">
        <is>
          <t>$54.26B US leather goods × 5% personalized share × 50% POD-accessible online (Nova One Advisor 2025)</t>
        </is>
      </c>
      <c r="F8" s="7" t="inlineStr">
        <is>
          <t>Market exists</t>
        </is>
      </c>
    </row>
    <row r="9" ht="30" customHeight="1">
      <c r="A9" s="9" t="inlineStr">
        <is>
          <t>SAM</t>
        </is>
      </c>
      <c r="B9" s="10" t="inlineStr">
        <is>
          <t>Printify-reachable POD Decorators in US</t>
        </is>
      </c>
      <c r="C9" s="11" t="inlineStr">
        <is>
          <t>~$375M / yr</t>
        </is>
      </c>
      <c r="D9" s="11" t="inlineStr">
        <is>
          <t>~$30M / yr</t>
        </is>
      </c>
      <c r="E9" s="12" t="inlineStr">
        <is>
          <t>TAM × 15% Printify platform share · $8 margin on $40–$80 AOV = ~8% blended margin</t>
        </is>
      </c>
      <c r="F9" s="11" t="inlineStr">
        <is>
          <t>Reachable</t>
        </is>
      </c>
    </row>
    <row r="10" ht="30" customHeight="1">
      <c r="A10" s="13" t="inlineStr">
        <is>
          <t>SOM — Year 1</t>
        </is>
      </c>
      <c r="B10" s="14" t="inlineStr">
        <is>
          <t>Post kill-gate · 20 Decorators · 600 SKUs</t>
        </is>
      </c>
      <c r="C10" s="15" t="inlineStr">
        <is>
          <t>$576K GMV</t>
        </is>
      </c>
      <c r="D10" s="15" t="inlineStr">
        <is>
          <t>~$1.2M / yr</t>
        </is>
      </c>
      <c r="E10" s="16" t="inlineStr">
        <is>
          <t>600 SKUs × 20 orders/mo × $8 × 12. Pilot (5 Dec) passes G2 → scale to 20 Dec by Month 12</t>
        </is>
      </c>
      <c r="F10" s="15" t="inlineStr">
        <is>
          <t>▶ GO</t>
        </is>
      </c>
    </row>
    <row r="11" ht="30" customHeight="1">
      <c r="A11" s="53" t="inlineStr">
        <is>
          <t>SOM — Year 2</t>
        </is>
      </c>
      <c r="B11" s="6" t="inlineStr">
        <is>
          <t>50 Decorators · 1,500 SKUs · base case</t>
        </is>
      </c>
      <c r="C11" s="18" t="inlineStr">
        <is>
          <t>$1.44M GMV</t>
        </is>
      </c>
      <c r="D11" s="18" t="inlineStr">
        <is>
          <t>$2.9M / yr</t>
        </is>
      </c>
      <c r="E11" s="8" t="inlineStr">
        <is>
          <t>1,500 SKUs × 20 orders/mo × $8 × 12. Requires G2 passed and catalog expansion approved</t>
        </is>
      </c>
      <c r="F11" s="18" t="inlineStr">
        <is>
          <t>If GO</t>
        </is>
      </c>
    </row>
    <row r="12" ht="30" customHeight="1">
      <c r="A12" s="54" t="inlineStr">
        <is>
          <t>SOM — Year 5</t>
        </is>
      </c>
      <c r="B12" s="10" t="inlineStr">
        <is>
          <t>Market leadership · 50% SAM capture · namespace:leather lock-in</t>
        </is>
      </c>
      <c r="C12" s="21" t="inlineStr">
        <is>
          <t>~$187M GMV</t>
        </is>
      </c>
      <c r="D12" s="21" t="inlineStr">
        <is>
          <t>$18.7M / yr</t>
        </is>
      </c>
      <c r="E12" s="12" t="inlineStr">
        <is>
          <t>$375M SAM × 50% Printify capture × 10% blended margin. Default global POD for FTC-compliant leather</t>
        </is>
      </c>
      <c r="F12" s="11" t="inlineStr">
        <is>
          <t>Leadership</t>
        </is>
      </c>
    </row>
    <row r="13" ht="24" customHeight="1">
      <c r="A13" s="29" t="inlineStr">
        <is>
          <t>@ $8/order Printify platform margin · AOV $40–$80 · Kill gate at Month 2: &lt;15 orders/SKU → max loss $220K (not $340K). SOM Year 1 assumes base case (20/SKU); optimistic (50/SKU) = 2.5× SOM numbers.</t>
        </is>
      </c>
    </row>
    <row r="14" ht="5" customHeight="1"/>
    <row r="15" ht="16" customHeight="1">
      <c r="A15" s="3" t="inlineStr">
        <is>
          <t>2. Why Now — The First-Mover Case (12–18 month window)</t>
        </is>
      </c>
    </row>
    <row r="16" ht="28" customHeight="1">
      <c r="A16" s="4" t="inlineStr">
        <is>
          <t>Signal</t>
        </is>
      </c>
      <c r="B16" s="4" t="inlineStr">
        <is>
          <t>Evidence</t>
        </is>
      </c>
      <c r="C16" s="4" t="inlineStr">
        <is>
          <t>What it means for Printify</t>
        </is>
      </c>
    </row>
    <row r="17" ht="28" customHeight="1">
      <c r="A17" s="9" t="inlineStr">
        <is>
          <t>Zero structured-taxonomy player</t>
        </is>
      </c>
      <c r="B17" s="12" t="inlineStr">
        <is>
          <t>No POD platform has leather taxonomy + FTC compliance today</t>
        </is>
      </c>
      <c r="C17" s="10" t="inlineStr">
        <is>
          <t>12–18 month first-mover window. First to build = first to lock in Decorator catalogs</t>
        </is>
      </c>
    </row>
    <row r="18" ht="28" customHeight="1">
      <c r="A18" s="5" t="inlineStr">
        <is>
          <t>Etsy leather demand accelerating</t>
        </is>
      </c>
      <c r="B18" s="8" t="inlineStr">
        <is>
          <t>"leather" #215 top keyword · +57% search growth Nov–Dec · 125%+ CTR (eRank 2025)</t>
        </is>
      </c>
      <c r="C18" s="6" t="inlineStr">
        <is>
          <t>Demand is rising NOW. Waiting 12 months = competitors see the same signal and react</t>
        </is>
      </c>
    </row>
    <row r="19" ht="28" customHeight="1">
      <c r="A19" s="9" t="inlineStr">
        <is>
          <t>Amazon demand confirmed</t>
        </is>
      </c>
      <c r="B19" s="12" t="inlineStr">
        <is>
          <t>BULLIANT wallet: 8,365 units/mo BSR — top POD leather SKU (accio.com 2025)</t>
        </is>
      </c>
      <c r="C19" s="10" t="inlineStr">
        <is>
          <t>The ceiling is real. New POD SKUs enter at 5–20/mo — pilot target 20/SKU is achievable</t>
        </is>
      </c>
    </row>
    <row r="20" ht="28" customHeight="1">
      <c r="A20" s="5" t="inlineStr">
        <is>
          <t>Shopify timing</t>
        </is>
      </c>
      <c r="B20" s="8" t="inlineStr">
        <is>
          <t>Material Attributes standard launched 2025 — structured leather channel just opened</t>
        </is>
      </c>
      <c r="C20" s="6" t="inlineStr">
        <is>
          <t>Integrate in MVP 2 with no SP-API approval needed. Wait = competitors integrate first</t>
        </is>
      </c>
    </row>
    <row r="21" ht="28" customHeight="1">
      <c r="A21" s="9" t="inlineStr">
        <is>
          <t>PrintKK dependency cost</t>
        </is>
      </c>
      <c r="B21" s="12" t="inlineStr">
        <is>
          <t>Decorators using PrintKK: 50-unit MOQ, no FTC compliance, no portal</t>
        </is>
      </c>
      <c r="C21" s="10" t="inlineStr">
        <is>
          <t>Every month of inaction: Decorators build their leather catalog on a competitor</t>
        </is>
      </c>
    </row>
    <row r="22" ht="28" customHeight="1">
      <c r="A22" s="5" t="inlineStr">
        <is>
          <t>Kill gate protection</t>
        </is>
      </c>
      <c r="B22" s="8" t="inlineStr">
        <is>
          <t>Max loss at Month 2 gate: $220K (not $340K). PoC costs $0</t>
        </is>
      </c>
      <c r="C22" s="6" t="inlineStr">
        <is>
          <t>Controlled bet — data decides at Month 2, not projections</t>
        </is>
      </c>
    </row>
    <row r="23" ht="5" customHeight="1"/>
    <row r="24" ht="16" customHeight="1">
      <c r="A24" s="3" t="inlineStr">
        <is>
          <t>3. Investment Phasing (~$340K Total) — 5 initiatives across 24 weeks</t>
        </is>
      </c>
    </row>
    <row r="25" ht="180" customHeight="1">
      <c r="A25" s="55" t="inlineStr">
        <is>
          <t>THE 5 INITIATIVES WE PROPOSE:
① PoC (W0 · $0) — Before writing a single line of code, the PM validates the supply side: outreach to 50 existing Printify Decorators, obtain ≥5 signed LOIs, confirm supplier SLA (1-unit MOQ, laser engraving). If no LOIs → cancel. Cost: zero.
② Design Sprint (W1–2 · $20K) — UX designs the Decorator portal and the MAT-001 scoring state UI. Plain-language field labels replace technical jargon. New DS components (quality tier indicator, ECO badge, compliance banner) are built once and reused across all surfaces.
③ MVP 1 — Schema &amp; Classifier (W3–8 · $80K) — Engineers add 8 new blueprint schema fields (leather_grade, tanning_method, finish_type, hide_thickness_mm, hide_origin, grain_correction, compliance_cert, eco_claims). The MAT-001 LLM classifier auto-rejects PU/bonded leather mislabeled as "genuine". Kill gate: ≥88% auto-approval, &lt;2% false positives.
④ MVP 2 — Mockup Engine + Shopify Pilot (W9–16 · $120K) — Static leather texture mockup engine (3 textures/tier). AI field-assist agent pre-fills schema fields from supplier data. 5 pilot Decorators onboard and create 150 approved SKUs. Shopify metafield integration ★ goes live at W12 — immediate demand signal before Etsy/Amazon launch.
⑤ MVP 3 — Marketplace Launch (W17–24 · $120K) — 150 SKUs go live across Etsy, Amazon (SP-API, Prop 65), and WooCommerce. Month 1 demand read. Kill decision at Month 2: &lt;15 orders/SKU → halt &amp; reallocate; ≥20 → full scale to 1,500+ SKUs.</t>
        </is>
      </c>
      <c r="B25" s="31" t="n"/>
      <c r="C25" s="31" t="n"/>
      <c r="D25" s="31" t="n"/>
      <c r="E25" s="31" t="n"/>
      <c r="F25" s="31" t="n"/>
      <c r="G25" s="32" t="n"/>
    </row>
    <row r="26" ht="28" customHeight="1">
      <c r="A26" s="4" t="inlineStr">
        <is>
          <t>Phase</t>
        </is>
      </c>
      <c r="B26" s="4" t="inlineStr">
        <is>
          <t>Weeks</t>
        </is>
      </c>
      <c r="C26" s="4" t="inlineStr">
        <is>
          <t>Cost</t>
        </is>
      </c>
      <c r="D26" s="4" t="inlineStr">
        <is>
          <t>Cumulative</t>
        </is>
      </c>
      <c r="E26" s="4" t="inlineStr">
        <is>
          <t>Key deliverables</t>
        </is>
      </c>
      <c r="F26" s="4" t="inlineStr">
        <is>
          <t>Exit criteria / Gate</t>
        </is>
      </c>
      <c r="G26" s="4" t="inlineStr">
        <is>
          <t>Kill if not met</t>
        </is>
      </c>
    </row>
    <row r="27" ht="44" customHeight="1">
      <c r="A27" s="9" t="inlineStr">
        <is>
          <t>PoC</t>
        </is>
      </c>
      <c r="B27" s="10" t="inlineStr">
        <is>
          <t>W0</t>
        </is>
      </c>
      <c r="C27" s="10" t="inlineStr">
        <is>
          <t>$0</t>
        </is>
      </c>
      <c r="D27" s="10" t="inlineStr">
        <is>
          <t>$0</t>
        </is>
      </c>
      <c r="E27" s="10" t="inlineStr">
        <is>
          <t>PM outreach to 50 existing Printify customers · Supplier SLA validation (Photograve / Fulfill Engine)</t>
        </is>
      </c>
      <c r="F27" s="10" t="inlineStr">
        <is>
          <t>≥ 5 signed Decorator LOIs + supplier confirmed</t>
        </is>
      </c>
      <c r="G27" s="43" t="inlineStr">
        <is>
          <t>CANCEL — $0 spent, no engineering</t>
        </is>
      </c>
    </row>
    <row r="28" ht="44" customHeight="1">
      <c r="A28" s="5" t="inlineStr">
        <is>
          <t>Design Sprint</t>
        </is>
      </c>
      <c r="B28" s="6" t="inlineStr">
        <is>
          <t>W1–W2</t>
        </is>
      </c>
      <c r="C28" s="6" t="inlineStr">
        <is>
          <t>~$20K</t>
        </is>
      </c>
      <c r="D28" s="6" t="inlineStr">
        <is>
          <t>~$20K</t>
        </is>
      </c>
      <c r="E28" s="6" t="inlineStr">
        <is>
          <t>Figma handoffs · plain-language field labels · MAT-001 scoring state UX · new DS components (quality tier indicator, ECO badge, compliance banner)</t>
        </is>
      </c>
      <c r="F28" s="6" t="inlineStr">
        <is>
          <t>Figma approved by FE Director + UX Lead</t>
        </is>
      </c>
      <c r="G28" s="41" t="inlineStr">
        <is>
          <t>PAUSE — redesign before MVP 1 start</t>
        </is>
      </c>
    </row>
    <row r="29" ht="44" customHeight="1">
      <c r="A29" s="9" t="inlineStr">
        <is>
          <t>MVP 1 — Schema</t>
        </is>
      </c>
      <c r="B29" s="10" t="inlineStr">
        <is>
          <t>W3–W8</t>
        </is>
      </c>
      <c r="C29" s="10" t="inlineStr">
        <is>
          <t>~$80K</t>
        </is>
      </c>
      <c r="D29" s="10" t="inlineStr">
        <is>
          <t>~$100K</t>
        </is>
      </c>
      <c r="E29" s="10" t="inlineStr">
        <is>
          <t>8 blueprint schema fields · MAT-001 FTC AI classifier · laser_engraving + debossing enum API updates · audit log</t>
        </is>
      </c>
      <c r="F29" s="10" t="inlineStr">
        <is>
          <t>≥ 88% MAT-001 auto-approve · FP rate &lt; 2% · audit log live</t>
        </is>
      </c>
      <c r="G29" s="10" t="inlineStr">
        <is>
          <t>Fix blocker before MVP 2</t>
        </is>
      </c>
    </row>
    <row r="30" ht="44" customHeight="1">
      <c r="A30" s="45" t="inlineStr">
        <is>
          <t>MVP 2 — Mockup</t>
        </is>
      </c>
      <c r="B30" s="46" t="inlineStr">
        <is>
          <t>W9–W16</t>
        </is>
      </c>
      <c r="C30" s="46" t="inlineStr">
        <is>
          <t>~$120K</t>
        </is>
      </c>
      <c r="D30" s="46" t="inlineStr">
        <is>
          <t>~$220K</t>
        </is>
      </c>
      <c r="E30" s="46" t="inlineStr">
        <is>
          <t>Static leather texture mockup engine (3 textures/tier, assets locked W9 D1) · Decorator portal UI · AI field-assist agent · scoring UI · 5 Decorators onboarded · Shopify pilot ★</t>
        </is>
      </c>
      <c r="F30" s="46" t="inlineStr">
        <is>
          <t>5 Decorators with 150 valid approved blueprints · error rate &lt; 10% · Shopify W16 signal</t>
        </is>
      </c>
      <c r="G30" s="40" t="inlineStr">
        <is>
          <t>PAUSE — redesign portal UI &amp; AI flow · ⚠ 8-week critical path</t>
        </is>
      </c>
    </row>
    <row r="31" ht="44" customHeight="1">
      <c r="A31" s="5" t="inlineStr">
        <is>
          <t>MVP 3 — Channels</t>
        </is>
      </c>
      <c r="B31" s="6" t="inlineStr">
        <is>
          <t>W17–W24</t>
        </is>
      </c>
      <c r="C31" s="6" t="inlineStr">
        <is>
          <t>~$120K</t>
        </is>
      </c>
      <c r="D31" s="6" t="inlineStr">
        <is>
          <t>~$340K</t>
        </is>
      </c>
      <c r="E31" s="6" t="inlineStr">
        <is>
          <t>Shopify full (W17–18) · Etsy material attr (W17–18) · Amazon SP-API LeatherType + Prop 65 (W19–22) · WooCommerce (W23–24) · 150 SKUs live · Pilot M1 read</t>
        </is>
      </c>
      <c r="F31" s="6" t="inlineStr">
        <is>
          <t>≥ 20 orders/SKU Month 1 · Kill if &lt; 15 at Month 2</t>
        </is>
      </c>
      <c r="G31" s="41" t="inlineStr">
        <is>
          <t>KILL (&lt; 15/SKU at M2) — halt &amp; reallocate team</t>
        </is>
      </c>
    </row>
    <row r="33" ht="5" customHeight="1"/>
    <row r="34" ht="16" customHeight="1">
      <c r="A34" s="3" t="inlineStr">
        <is>
          <t>4. Revenue Scenarios (Pilot: 5 Dec × 30 SKUs = 150 SKUs · $8 margin/order)</t>
        </is>
      </c>
    </row>
    <row r="35" ht="28" customHeight="1">
      <c r="A35" s="4" t="inlineStr">
        <is>
          <t>Scenario</t>
        </is>
      </c>
      <c r="B35" s="4" t="inlineStr">
        <is>
          <t>Orders/SKU/mo</t>
        </is>
      </c>
      <c r="C35" s="4" t="inlineStr">
        <is>
          <t>Monthly margin</t>
        </is>
      </c>
      <c r="D35" s="4" t="inlineStr">
        <is>
          <t>Annual run-rate</t>
        </is>
      </c>
      <c r="E35" s="4" t="inlineStr">
        <is>
          <t>Payback period</t>
        </is>
      </c>
      <c r="F35" s="4" t="inlineStr">
        <is>
          <t>Strategic decision</t>
        </is>
      </c>
      <c r="G35" s="4" t="inlineStr">
        <is>
          <t>Basis</t>
        </is>
      </c>
    </row>
    <row r="36">
      <c r="A36" s="56" t="inlineStr">
        <is>
          <t>Conservative</t>
        </is>
      </c>
      <c r="B36" s="57" t="n">
        <v>8</v>
      </c>
      <c r="C36" s="58" t="n">
        <v>60000</v>
      </c>
      <c r="D36" s="58" t="n">
        <v>720000</v>
      </c>
      <c r="E36" s="57" t="inlineStr">
        <is>
          <t>&gt; 36 months</t>
        </is>
      </c>
      <c r="F36" s="56" t="inlineStr">
        <is>
          <t>KILL at Month 2 Gate (&lt; 15 orders)</t>
        </is>
      </c>
      <c r="G36" s="59" t="inlineStr">
        <is>
          <t>POD industry average — Printify data</t>
        </is>
      </c>
    </row>
    <row r="37">
      <c r="A37" s="5" t="inlineStr">
        <is>
          <t>Base Case</t>
        </is>
      </c>
      <c r="B37" s="60" t="n">
        <v>20</v>
      </c>
      <c r="C37" s="61" t="n">
        <v>150000</v>
      </c>
      <c r="D37" s="61" t="n">
        <v>1800000</v>
      </c>
      <c r="E37" s="60" t="inlineStr">
        <is>
          <t>~15–17 months</t>
        </is>
      </c>
      <c r="F37" s="5" t="inlineStr">
        <is>
          <t>GO — Planning Target</t>
        </is>
      </c>
      <c r="G37" s="38" t="inlineStr">
        <is>
          <t>Top-quartile Etsy leather sellers proxy</t>
        </is>
      </c>
    </row>
    <row r="38">
      <c r="A38" s="54" t="inlineStr">
        <is>
          <t>Optimistic</t>
        </is>
      </c>
      <c r="B38" s="39" t="n">
        <v>50</v>
      </c>
      <c r="C38" s="62" t="n">
        <v>375000</v>
      </c>
      <c r="D38" s="62" t="n">
        <v>4500000</v>
      </c>
      <c r="E38" s="39" t="inlineStr">
        <is>
          <t>~9–10 months</t>
        </is>
      </c>
      <c r="F38" s="54" t="inlineStr">
        <is>
          <t>SCALE to 1,500+ SKUs</t>
        </is>
      </c>
      <c r="G38" s="35" t="inlineStr">
        <is>
          <t>Top 5% Etsy / Amazon POD performers proxy</t>
        </is>
      </c>
    </row>
    <row r="40" ht="24" customHeight="1">
      <c r="A40" s="29" t="inlineStr">
        <is>
          <t>★ Shopify channel (MVP 2 pilot, immediate indexing — no algorithm delay) provides incremental demand on top of marketplace benchmarks. Base case of 20 orders/SKU/mo now distributes across Etsy + Amazon + Shopify, reducing single-channel dependency risk and making the kill gate threshold (&lt; 15/SKU) safer to pass.</t>
        </is>
      </c>
    </row>
    <row r="42" customHeight="1">
      <c r="A42" t="inlineStr">
        <is>
          <t>Scenario</t>
        </is>
      </c>
      <c r="B42" t="inlineStr">
        <is>
          <t>Monthly $K</t>
        </is>
      </c>
      <c r="C42" t="inlineStr">
        <is>
          <t>Annual ÷12 $K</t>
        </is>
      </c>
    </row>
    <row r="43" customHeight="1">
      <c r="A43" t="inlineStr">
        <is>
          <t>Conservative</t>
        </is>
      </c>
      <c r="B43" t="n">
        <v>60</v>
      </c>
      <c r="C43" t="n">
        <v>60</v>
      </c>
    </row>
    <row r="44" customHeight="1">
      <c r="A44" t="inlineStr">
        <is>
          <t>Base Case</t>
        </is>
      </c>
      <c r="B44" t="n">
        <v>150</v>
      </c>
      <c r="C44" t="n">
        <v>150</v>
      </c>
    </row>
    <row r="45" customHeight="1">
      <c r="A45" t="inlineStr">
        <is>
          <t>Optimistic</t>
        </is>
      </c>
      <c r="B45" t="n">
        <v>375</v>
      </c>
      <c r="C45" t="n">
        <v>375</v>
      </c>
    </row>
    <row r="64" ht="16" customHeight="1">
      <c r="A64" s="3" t="inlineStr">
        <is>
          <t>5. Decision Gates &amp; Kill Criteria</t>
        </is>
      </c>
    </row>
    <row r="65" ht="28" customHeight="1">
      <c r="A65" s="4" t="inlineStr">
        <is>
          <t>Gate</t>
        </is>
      </c>
      <c r="B65" s="4" t="inlineStr">
        <is>
          <t>Timing</t>
        </is>
      </c>
      <c r="C65" s="4" t="inlineStr">
        <is>
          <t>Success threshold</t>
        </is>
      </c>
      <c r="D65" s="4" t="inlineStr">
        <is>
          <t>GO action</t>
        </is>
      </c>
      <c r="E65" s="4" t="inlineStr">
        <is>
          <t>KILL / PIVOT action</t>
        </is>
      </c>
      <c r="F65" s="4" t="inlineStr">
        <is>
          <t>$ at stake</t>
        </is>
      </c>
      <c r="G65" s="4" t="inlineStr">
        <is>
          <t>Rationale</t>
        </is>
      </c>
    </row>
    <row r="66" ht="30" customHeight="1">
      <c r="A66" s="9" t="inlineStr">
        <is>
          <t>Gate 0 · PoC</t>
        </is>
      </c>
      <c r="B66" s="63" t="inlineStr">
        <is>
          <t>W0</t>
        </is>
      </c>
      <c r="C66" s="63" t="inlineStr">
        <is>
          <t>≥ 5 Signed LOIs + Supplier SLA ready</t>
        </is>
      </c>
      <c r="D66" s="64" t="inlineStr">
        <is>
          <t>Approve ~$20K for Design Sprint</t>
        </is>
      </c>
      <c r="E66" s="65" t="inlineStr">
        <is>
          <t>CANCEL — $0 engineering spent</t>
        </is>
      </c>
      <c r="F66" s="63" t="inlineStr">
        <is>
          <t>$0</t>
        </is>
      </c>
      <c r="G66" s="63" t="inlineStr">
        <is>
          <t>Demand signal before any code written</t>
        </is>
      </c>
    </row>
    <row r="67" ht="30" customHeight="1">
      <c r="A67" s="5" t="inlineStr">
        <is>
          <t>Gate 1 · MVP 2</t>
        </is>
      </c>
      <c r="B67" s="66" t="inlineStr">
        <is>
          <t>W16</t>
        </is>
      </c>
      <c r="C67" s="66" t="inlineStr">
        <is>
          <t>150 valid SKUs; portal error &lt; 10%</t>
        </is>
      </c>
      <c r="D67" s="67" t="inlineStr">
        <is>
          <t>Proceed to Marketplace Integrations</t>
        </is>
      </c>
      <c r="E67" s="68" t="inlineStr">
        <is>
          <t>PAUSE — redesign portal UI &amp; AI flow</t>
        </is>
      </c>
      <c r="F67" s="66" t="inlineStr">
        <is>
          <t>~$220K</t>
        </is>
      </c>
      <c r="G67" s="66" t="inlineStr">
        <is>
          <t>Supply readiness before marketplace spend</t>
        </is>
      </c>
    </row>
    <row r="68" ht="30" customHeight="1">
      <c r="A68" s="45" t="inlineStr">
        <is>
          <t>Gate 2 · M2</t>
        </is>
      </c>
      <c r="B68" s="69" t="inlineStr">
        <is>
          <t>Month 2</t>
        </is>
      </c>
      <c r="C68" s="69" t="inlineStr">
        <is>
          <t>≥ 20 orders / SKU / month</t>
        </is>
      </c>
      <c r="D68" s="70" t="inlineStr">
        <is>
          <t>FULL SCALE — expand to 1,500+ SKUs</t>
        </is>
      </c>
      <c r="E68" s="71" t="inlineStr">
        <is>
          <t>KILL (&lt; 15) — halt &amp; reallocate team</t>
        </is>
      </c>
      <c r="F68" s="69" t="inlineStr">
        <is>
          <t>~$340K</t>
        </is>
      </c>
      <c r="G68" s="69" t="inlineStr">
        <is>
          <t>M1 has launch noise; M2 = true organic signal</t>
        </is>
      </c>
    </row>
    <row r="69">
      <c r="A69" s="9" t="inlineStr">
        <is>
          <t>M9</t>
        </is>
      </c>
      <c r="B69" s="72" t="n">
        <v>55</v>
      </c>
      <c r="C69" s="73" t="n">
        <v>130</v>
      </c>
      <c r="D69" s="74" t="n">
        <v>320</v>
      </c>
      <c r="E69" s="75" t="n">
        <v>60</v>
      </c>
      <c r="F69" s="74" t="n">
        <v>150</v>
      </c>
      <c r="G69" s="76" t="n">
        <v>375</v>
      </c>
    </row>
    <row r="70" ht="5" customHeight="1">
      <c r="A70" s="5" t="inlineStr">
        <is>
          <t>M12</t>
        </is>
      </c>
      <c r="B70" s="77" t="n">
        <v>60</v>
      </c>
      <c r="C70" s="78" t="n">
        <v>150</v>
      </c>
      <c r="D70" s="79" t="n">
        <v>375</v>
      </c>
      <c r="E70" s="75" t="n">
        <v>60</v>
      </c>
      <c r="F70" s="74" t="n">
        <v>150</v>
      </c>
      <c r="G70" s="76" t="n">
        <v>375</v>
      </c>
    </row>
    <row r="71" ht="16" customHeight="1">
      <c r="A71" s="3" t="inlineStr">
        <is>
          <t>6. ROI at a Glance — Base Case $340K Investment</t>
        </is>
      </c>
    </row>
    <row r="72" ht="28" customHeight="1">
      <c r="A72" s="4" t="inlineStr">
        <is>
          <t>Metric</t>
        </is>
      </c>
      <c r="B72" s="4" t="inlineStr">
        <is>
          <t>Conservative</t>
        </is>
      </c>
      <c r="C72" s="4" t="inlineStr">
        <is>
          <t>Base Case ✓</t>
        </is>
      </c>
      <c r="D72" s="4" t="inlineStr">
        <is>
          <t>Optimistic</t>
        </is>
      </c>
      <c r="E72" s="4" t="inlineStr">
        <is>
          <t>Year 2 (SOM)</t>
        </is>
      </c>
      <c r="F72" s="4" t="inlineStr">
        <is>
          <t>Year 5 (Leadership)</t>
        </is>
      </c>
    </row>
    <row r="73" ht="20" customHeight="1">
      <c r="A73" s="9" t="inlineStr">
        <is>
          <t>Decorators</t>
        </is>
      </c>
      <c r="B73" s="80" t="inlineStr">
        <is>
          <t>20</t>
        </is>
      </c>
      <c r="C73" s="21" t="inlineStr">
        <is>
          <t>20</t>
        </is>
      </c>
      <c r="D73" s="39" t="inlineStr">
        <is>
          <t>50</t>
        </is>
      </c>
      <c r="E73" s="11" t="inlineStr">
        <is>
          <t>50</t>
        </is>
      </c>
      <c r="F73" s="11" t="inlineStr">
        <is>
          <t>—</t>
        </is>
      </c>
    </row>
    <row r="74" ht="20" customHeight="1">
      <c r="A74" s="5" t="inlineStr">
        <is>
          <t>Orders/SKU/month</t>
        </is>
      </c>
      <c r="B74" s="81" t="inlineStr">
        <is>
          <t>8</t>
        </is>
      </c>
      <c r="C74" s="21" t="inlineStr">
        <is>
          <t>20</t>
        </is>
      </c>
      <c r="D74" s="19" t="inlineStr">
        <is>
          <t>50</t>
        </is>
      </c>
      <c r="E74" s="7" t="inlineStr">
        <is>
          <t>20 (base)</t>
        </is>
      </c>
      <c r="F74" s="7" t="inlineStr">
        <is>
          <t>—</t>
        </is>
      </c>
    </row>
    <row r="75" ht="20" customHeight="1">
      <c r="A75" s="9" t="inlineStr">
        <is>
          <t>Monthly margin</t>
        </is>
      </c>
      <c r="B75" s="80" t="inlineStr">
        <is>
          <t>$60K</t>
        </is>
      </c>
      <c r="C75" s="21" t="inlineStr">
        <is>
          <t>$150K</t>
        </is>
      </c>
      <c r="D75" s="39" t="inlineStr">
        <is>
          <t>$375K</t>
        </is>
      </c>
      <c r="E75" s="11" t="inlineStr">
        <is>
          <t>—</t>
        </is>
      </c>
      <c r="F75" s="11" t="inlineStr">
        <is>
          <t>—</t>
        </is>
      </c>
    </row>
    <row r="76" ht="20" customHeight="1">
      <c r="A76" s="5" t="inlineStr">
        <is>
          <t>Annual run-rate</t>
        </is>
      </c>
      <c r="B76" s="81" t="inlineStr">
        <is>
          <t>$720K</t>
        </is>
      </c>
      <c r="C76" s="21" t="inlineStr">
        <is>
          <t>$1.8M</t>
        </is>
      </c>
      <c r="D76" s="19" t="inlineStr">
        <is>
          <t>$4.5M</t>
        </is>
      </c>
      <c r="E76" s="7" t="inlineStr">
        <is>
          <t>$2.9M</t>
        </is>
      </c>
      <c r="F76" s="7" t="inlineStr">
        <is>
          <t>$18.7M</t>
        </is>
      </c>
    </row>
    <row r="77" ht="20" customHeight="1">
      <c r="A77" s="9" t="inlineStr">
        <is>
          <t>Payback period</t>
        </is>
      </c>
      <c r="B77" s="80" t="inlineStr">
        <is>
          <t>&gt; 36 mo</t>
        </is>
      </c>
      <c r="C77" s="21" t="inlineStr">
        <is>
          <t>~16 mo</t>
        </is>
      </c>
      <c r="D77" s="39" t="inlineStr">
        <is>
          <t>~9.5 mo</t>
        </is>
      </c>
      <c r="E77" s="11" t="inlineStr">
        <is>
          <t>—</t>
        </is>
      </c>
      <c r="F77" s="11" t="inlineStr">
        <is>
          <t>—</t>
        </is>
      </c>
    </row>
    <row r="78" ht="20" customHeight="1">
      <c r="A78" s="5" t="inlineStr">
        <is>
          <t>Total investment</t>
        </is>
      </c>
      <c r="B78" s="81" t="inlineStr">
        <is>
          <t>$340K</t>
        </is>
      </c>
      <c r="C78" s="21" t="inlineStr">
        <is>
          <t>$340K</t>
        </is>
      </c>
      <c r="D78" s="19" t="inlineStr">
        <is>
          <t>$340K</t>
        </is>
      </c>
      <c r="E78" s="7" t="inlineStr">
        <is>
          <t>—</t>
        </is>
      </c>
      <c r="F78" s="7" t="inlineStr">
        <is>
          <t>—</t>
        </is>
      </c>
    </row>
    <row r="79" ht="20" customHeight="1">
      <c r="A79" s="45" t="inlineStr">
        <is>
          <t>Decision at M2</t>
        </is>
      </c>
      <c r="B79" s="57" t="inlineStr">
        <is>
          <t>KILL</t>
        </is>
      </c>
      <c r="C79" s="21" t="inlineStr">
        <is>
          <t>GO</t>
        </is>
      </c>
      <c r="D79" s="82" t="inlineStr">
        <is>
          <t>SCALE</t>
        </is>
      </c>
      <c r="E79" s="83" t="inlineStr">
        <is>
          <t>—</t>
        </is>
      </c>
      <c r="F79" s="83" t="inlineStr">
        <is>
          <t>—</t>
        </is>
      </c>
    </row>
    <row r="81" ht="24" customHeight="1">
      <c r="A81" s="29" t="inlineStr">
        <is>
          <t>Year 2 SOM: 50 Decorators × 1,500 SKUs × 20 orders/mo × $8 × 12 = $2.88M ≈ $2.9M/yr. Year 5 Leadership: $375M SAM × 50% Printify capture × 10% blended margin = $18.75M ≈ $18.7M/yr. Shopify channel (MVP 2, immediate indexing) adds 3rd demand channel — base case of 20/SKU more achievable. See Market Sizing tab for full TAM → SAM → SOM calculation.</t>
        </is>
      </c>
    </row>
    <row r="83" ht="5" customHeight="1"/>
    <row r="84" ht="16" customHeight="1">
      <c r="A84" s="3" t="inlineStr">
        <is>
          <t>7. Sources &amp; References</t>
        </is>
      </c>
    </row>
    <row r="85" ht="28" customHeight="1">
      <c r="A85" s="4" t="inlineStr">
        <is>
          <t>Source</t>
        </is>
      </c>
      <c r="B85" s="4" t="inlineStr">
        <is>
          <t>Data point used</t>
        </is>
      </c>
      <c r="C85" s="4" t="inlineStr">
        <is>
          <t>URL</t>
        </is>
      </c>
      <c r="D85" s="4" t="inlineStr"/>
      <c r="E85" s="4" t="inlineStr"/>
      <c r="F85" s="4" t="inlineStr"/>
      <c r="G85" s="4" t="inlineStr"/>
    </row>
    <row r="86" ht="20" customHeight="1">
      <c r="A86" s="9" t="inlineStr">
        <is>
          <t>Nova One Advisor 2025</t>
        </is>
      </c>
      <c r="B86" s="10" t="inlineStr">
        <is>
          <t>US leather goods market: $54.26B TAM · 6.7% CAGR</t>
        </is>
      </c>
      <c r="C86" s="48">
        <f>HYPERLINK("https://www.novaoneadvisor.com/report/us-leather-goods-market","https://www.novaoneadvisor.com/report/us-leather-goods-market")</f>
        <v/>
      </c>
      <c r="D86" s="31" t="n"/>
      <c r="E86" s="31" t="n"/>
      <c r="F86" s="31" t="n"/>
      <c r="G86" s="32" t="n"/>
    </row>
    <row r="87" ht="20" customHeight="1">
      <c r="A87" s="5" t="inlineStr">
        <is>
          <t>accio.com 2025</t>
        </is>
      </c>
      <c r="B87" s="6" t="inlineStr">
        <is>
          <t>Amazon USA BSR: BULLIANT leather wallet — 8,365 units/month</t>
        </is>
      </c>
      <c r="C87" s="49">
        <f>HYPERLINK("https://www.accio.com/business/amazon-mens-wallet-best-seller","https://www.accio.com/business/amazon-mens-wallet-best-seller")</f>
        <v/>
      </c>
      <c r="D87" s="31" t="n"/>
      <c r="E87" s="31" t="n"/>
      <c r="F87" s="31" t="n"/>
      <c r="G87" s="32" t="n"/>
    </row>
    <row r="88" ht="20" customHeight="1">
      <c r="A88" s="9" t="inlineStr">
        <is>
          <t>eRank 2025</t>
        </is>
      </c>
      <c r="B88" s="10" t="inlineStr">
        <is>
          <t>Etsy USA: "leather" = #215 top keyword · +57% search growth Nov–Dec</t>
        </is>
      </c>
      <c r="C88" s="48">
        <f>HYPERLINK("https://erank.com","https://erank.com")</f>
        <v/>
      </c>
      <c r="D88" s="31" t="n"/>
      <c r="E88" s="31" t="n"/>
      <c r="F88" s="31" t="n"/>
      <c r="G88" s="32" t="n"/>
    </row>
    <row r="89" ht="20" customHeight="1">
      <c r="A89" s="5" t="inlineStr">
        <is>
          <t>ShelfTrend 2025</t>
        </is>
      </c>
      <c r="B89" s="6" t="inlineStr">
        <is>
          <t>Etsy top-quartile leather sellers: 15–25 orders/SKU/mo · "personalized leather bag" GMV $130K–$270K/week</t>
        </is>
      </c>
      <c r="C89" s="49">
        <f>HYPERLINK("https://shelftrend.com","https://shelftrend.com")</f>
        <v/>
      </c>
      <c r="D89" s="31" t="n"/>
      <c r="E89" s="31" t="n"/>
      <c r="F89" s="31" t="n"/>
      <c r="G89" s="32" t="n"/>
    </row>
    <row r="90" ht="20" customHeight="1">
      <c r="A90" s="9" t="inlineStr">
        <is>
          <t>Shopify Materials Attributes (2025)</t>
        </is>
      </c>
      <c r="B90" s="10" t="inlineStr">
        <is>
          <t>New material attribute standard enabling leather taxonomy in Shopify metafields — no indexing lag</t>
        </is>
      </c>
      <c r="C90" s="48">
        <f>HYPERLINK("https://help.shopify.com/en/manual/products/details/product-type","https://help.shopify.com/en/manual/products/details/product-type")</f>
        <v/>
      </c>
      <c r="D90" s="31" t="n"/>
      <c r="E90" s="31" t="n"/>
      <c r="F90" s="31" t="n"/>
      <c r="G90" s="32" t="n"/>
    </row>
    <row r="91" ht="20" customHeight="1">
      <c r="A91" s="5" t="inlineStr">
        <is>
          <t>FTC Guides for Textile &amp; Fur (MAT-001)</t>
        </is>
      </c>
      <c r="B91" s="6" t="inlineStr">
        <is>
          <t>Genuine leather labeling requirements · PU/bonded cannot be labeled "genuine leather"</t>
        </is>
      </c>
      <c r="C91" s="49">
        <f>HYPERLINK("https://www.ftc.gov/legal-library/browse/rules/guides-use-word-leather","https://www.ftc.gov/legal-library/browse/rules/guides-use-word-leather")</f>
        <v/>
      </c>
      <c r="D91" s="31" t="n"/>
      <c r="E91" s="31" t="n"/>
      <c r="F91" s="31" t="n"/>
      <c r="G91" s="32" t="n"/>
    </row>
    <row r="92" ht="20" customHeight="1">
      <c r="A92" s="9" t="inlineStr">
        <is>
          <t>PrintKK (public catalog)</t>
        </is>
      </c>
      <c r="B92" s="10" t="inlineStr">
        <is>
          <t>Competitor genuine leather POD: 50-unit MOQ · no taxonomy · no FTC compliance</t>
        </is>
      </c>
      <c r="C92" s="48">
        <f>HYPERLINK("https://printkk.com","https://printkk.com")</f>
        <v/>
      </c>
      <c r="D92" s="31" t="n"/>
      <c r="E92" s="31" t="n"/>
      <c r="F92" s="31" t="n"/>
      <c r="G92" s="32" t="n"/>
    </row>
    <row r="93" ht="20" customHeight="1">
      <c r="A93" s="5" t="inlineStr">
        <is>
          <t>GitHub — Full PRD &amp; financial model</t>
        </is>
      </c>
      <c r="B93" s="6" t="inlineStr">
        <is>
          <t>All deliverables: PRD HTML, Excel workbook, demand charts, interview prep</t>
        </is>
      </c>
      <c r="C93" s="49">
        <f>HYPERLINK("https://github.com/elenacastan-maker/fyul-pm-interview-prep","https://github.com/elenacastan-maker/fyul-pm-interview-prep")</f>
        <v/>
      </c>
      <c r="D93" s="31" t="n"/>
      <c r="E93" s="31" t="n"/>
      <c r="F93" s="31" t="n"/>
      <c r="G93" s="32" t="n"/>
    </row>
  </sheetData>
  <mergeCells count="23">
    <mergeCell ref="C92:G92"/>
    <mergeCell ref="C86:G86"/>
    <mergeCell ref="A4:G4"/>
    <mergeCell ref="C89:G89"/>
    <mergeCell ref="A81:G81"/>
    <mergeCell ref="C88:G88"/>
    <mergeCell ref="A13:G13"/>
    <mergeCell ref="A40:G40"/>
    <mergeCell ref="A34:G34"/>
    <mergeCell ref="A24:G24"/>
    <mergeCell ref="C93:G93"/>
    <mergeCell ref="A15:G15"/>
    <mergeCell ref="A64:G64"/>
    <mergeCell ref="C90:G90"/>
    <mergeCell ref="A1:G1"/>
    <mergeCell ref="A6:G6"/>
    <mergeCell ref="A25:G25"/>
    <mergeCell ref="A84:G84"/>
    <mergeCell ref="C91:G91"/>
    <mergeCell ref="A3:G3"/>
    <mergeCell ref="A2:G2"/>
    <mergeCell ref="A71:G71"/>
    <mergeCell ref="C87:G87"/>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29"/>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4" customWidth="1" min="4" max="4"/>
    <col width="16" customWidth="1" min="5" max="5"/>
    <col width="38" customWidth="1" min="6" max="6"/>
    <col width="10" customWidth="1" min="7" max="7"/>
    <col width="12" customWidth="1" min="8" max="8"/>
  </cols>
  <sheetData>
    <row r="1" ht="16" customHeight="1">
      <c r="A1" s="3" t="inlineStr">
        <is>
          <t>🏁  Competitor Benchmark — Leather POD Landscape</t>
        </is>
      </c>
    </row>
    <row r="2" ht="5" customHeight="1"/>
    <row r="3" ht="16" customHeight="1">
      <c r="A3" s="3" t="inlineStr">
        <is>
          <t>1. Feature Matrix</t>
        </is>
      </c>
    </row>
    <row r="4" ht="28" customHeight="1">
      <c r="A4" s="4" t="inlineStr">
        <is>
          <t>Capability</t>
        </is>
      </c>
      <c r="B4" s="4" t="inlineStr">
        <is>
          <t>Printify TODAY</t>
        </is>
      </c>
      <c r="C4" s="4" t="inlineStr">
        <is>
          <t>Printify POST-PRD</t>
        </is>
      </c>
      <c r="D4" s="4" t="inlineStr">
        <is>
          <t>Printful</t>
        </is>
      </c>
      <c r="E4" s="4" t="inlineStr">
        <is>
          <t>Gelato</t>
        </is>
      </c>
      <c r="F4" s="4" t="inlineStr">
        <is>
          <t>Gooten</t>
        </is>
      </c>
      <c r="G4" s="4" t="inlineStr">
        <is>
          <t>SPOD</t>
        </is>
      </c>
      <c r="H4" s="4" t="inlineStr">
        <is>
          <t>PrintKK</t>
        </is>
      </c>
    </row>
    <row r="5">
      <c r="A5" s="9" t="inlineStr">
        <is>
          <t>Genuine leather products (Full-Grain / Top-Grain)</t>
        </is>
      </c>
      <c r="B5" s="80" t="inlineStr">
        <is>
          <t>❌ 0</t>
        </is>
      </c>
      <c r="C5" s="39" t="inlineStr">
        <is>
          <t>✅ 150+ SKUs</t>
        </is>
      </c>
      <c r="D5" s="80" t="inlineStr">
        <is>
          <t>❌</t>
        </is>
      </c>
      <c r="E5" s="80" t="inlineStr">
        <is>
          <t>❌</t>
        </is>
      </c>
      <c r="F5" s="80" t="inlineStr">
        <is>
          <t>❌</t>
        </is>
      </c>
      <c r="G5" s="80" t="inlineStr">
        <is>
          <t>❌</t>
        </is>
      </c>
      <c r="H5" s="80" t="inlineStr">
        <is>
          <t>⚠ Yes, no standards</t>
        </is>
      </c>
    </row>
    <row r="6">
      <c r="A6" s="5" t="inlineStr">
        <is>
          <t>Synthetic PU / faux leather</t>
        </is>
      </c>
      <c r="B6" s="19" t="inlineStr">
        <is>
          <t>✅ ~45</t>
        </is>
      </c>
      <c r="C6" s="39" t="inlineStr">
        <is>
          <t>✅</t>
        </is>
      </c>
      <c r="D6" s="19" t="inlineStr">
        <is>
          <t>✅</t>
        </is>
      </c>
      <c r="E6" s="19" t="inlineStr">
        <is>
          <t>✅</t>
        </is>
      </c>
      <c r="F6" s="19" t="inlineStr">
        <is>
          <t>✅</t>
        </is>
      </c>
      <c r="G6" s="19" t="inlineStr">
        <is>
          <t>✅</t>
        </is>
      </c>
      <c r="H6" s="19" t="inlineStr">
        <is>
          <t>✅</t>
        </is>
      </c>
    </row>
    <row r="7">
      <c r="A7" s="9" t="inlineStr">
        <is>
          <t>Material taxonomy (tier classification)</t>
        </is>
      </c>
      <c r="B7" s="80" t="inlineStr">
        <is>
          <t>❌</t>
        </is>
      </c>
      <c r="C7" s="39" t="inlineStr">
        <is>
          <t>✅ 8 fields</t>
        </is>
      </c>
      <c r="D7" s="80" t="inlineStr">
        <is>
          <t>❌</t>
        </is>
      </c>
      <c r="E7" s="80" t="inlineStr">
        <is>
          <t>❌</t>
        </is>
      </c>
      <c r="F7" s="80" t="inlineStr">
        <is>
          <t>❌</t>
        </is>
      </c>
      <c r="G7" s="80" t="inlineStr">
        <is>
          <t>❌</t>
        </is>
      </c>
      <c r="H7" s="80" t="inlineStr">
        <is>
          <t>❌</t>
        </is>
      </c>
    </row>
    <row r="8">
      <c r="A8" s="5" t="inlineStr">
        <is>
          <t>FTC compliance / auto-reject mislabeling</t>
        </is>
      </c>
      <c r="B8" s="81" t="inlineStr">
        <is>
          <t>❌</t>
        </is>
      </c>
      <c r="C8" s="39" t="inlineStr">
        <is>
          <t>✅ MAT-001</t>
        </is>
      </c>
      <c r="D8" s="81" t="inlineStr">
        <is>
          <t>❌</t>
        </is>
      </c>
      <c r="E8" s="81" t="inlineStr">
        <is>
          <t>❌</t>
        </is>
      </c>
      <c r="F8" s="81" t="inlineStr">
        <is>
          <t>❌</t>
        </is>
      </c>
      <c r="G8" s="81" t="inlineStr">
        <is>
          <t>❌</t>
        </is>
      </c>
      <c r="H8" s="81" t="inlineStr">
        <is>
          <t>❌</t>
        </is>
      </c>
    </row>
    <row r="9">
      <c r="A9" s="9" t="inlineStr">
        <is>
          <t>Laser engraving support</t>
        </is>
      </c>
      <c r="B9" s="80" t="inlineStr">
        <is>
          <t>❌</t>
        </is>
      </c>
      <c r="C9" s="39" t="inlineStr">
        <is>
          <t>✅ MVP 1</t>
        </is>
      </c>
      <c r="D9" s="80" t="inlineStr">
        <is>
          <t>❌</t>
        </is>
      </c>
      <c r="E9" s="80" t="inlineStr">
        <is>
          <t>❌</t>
        </is>
      </c>
      <c r="F9" s="80" t="inlineStr">
        <is>
          <t>❌</t>
        </is>
      </c>
      <c r="G9" s="80" t="inlineStr">
        <is>
          <t>❌</t>
        </is>
      </c>
      <c r="H9" s="39" t="inlineStr">
        <is>
          <t>✅</t>
        </is>
      </c>
    </row>
    <row r="10">
      <c r="A10" s="5" t="inlineStr">
        <is>
          <t>Debossing support</t>
        </is>
      </c>
      <c r="B10" s="81" t="inlineStr">
        <is>
          <t>❌</t>
        </is>
      </c>
      <c r="C10" s="39" t="inlineStr">
        <is>
          <t>✅ MVP 1</t>
        </is>
      </c>
      <c r="D10" s="81" t="inlineStr">
        <is>
          <t>❌</t>
        </is>
      </c>
      <c r="E10" s="81" t="inlineStr">
        <is>
          <t>❌</t>
        </is>
      </c>
      <c r="F10" s="81" t="inlineStr">
        <is>
          <t>❌</t>
        </is>
      </c>
      <c r="G10" s="81" t="inlineStr">
        <is>
          <t>❌</t>
        </is>
      </c>
      <c r="H10" s="81" t="inlineStr">
        <is>
          <t>⚠ Partial</t>
        </is>
      </c>
    </row>
    <row r="11">
      <c r="A11" s="9" t="inlineStr">
        <is>
          <t>Leather mockup engine</t>
        </is>
      </c>
      <c r="B11" s="80" t="inlineStr">
        <is>
          <t>❌</t>
        </is>
      </c>
      <c r="C11" s="39" t="inlineStr">
        <is>
          <t>✅ MVP 2</t>
        </is>
      </c>
      <c r="D11" s="39" t="inlineStr">
        <is>
          <t>✅</t>
        </is>
      </c>
      <c r="E11" s="80" t="inlineStr">
        <is>
          <t>❌</t>
        </is>
      </c>
      <c r="F11" s="80" t="inlineStr">
        <is>
          <t>❌</t>
        </is>
      </c>
      <c r="G11" s="80" t="inlineStr">
        <is>
          <t>❌</t>
        </is>
      </c>
      <c r="H11" s="80" t="inlineStr">
        <is>
          <t>⚠ Basic</t>
        </is>
      </c>
    </row>
    <row r="12">
      <c r="A12" s="5" t="inlineStr">
        <is>
          <t>Decorator self-onboard portal (leather)</t>
        </is>
      </c>
      <c r="B12" s="81" t="inlineStr">
        <is>
          <t>❌</t>
        </is>
      </c>
      <c r="C12" s="39" t="inlineStr">
        <is>
          <t>✅ MVP 2</t>
        </is>
      </c>
      <c r="D12" s="81" t="inlineStr">
        <is>
          <t>❌</t>
        </is>
      </c>
      <c r="E12" s="81" t="inlineStr">
        <is>
          <t>❌</t>
        </is>
      </c>
      <c r="F12" s="81" t="inlineStr">
        <is>
          <t>❌</t>
        </is>
      </c>
      <c r="G12" s="81" t="inlineStr">
        <is>
          <t>❌</t>
        </is>
      </c>
      <c r="H12" s="81" t="inlineStr">
        <is>
          <t>❌</t>
        </is>
      </c>
    </row>
    <row r="13">
      <c r="A13" s="9" t="inlineStr">
        <is>
          <t>AI field-assist for material attributes</t>
        </is>
      </c>
      <c r="B13" s="80" t="inlineStr">
        <is>
          <t>❌</t>
        </is>
      </c>
      <c r="C13" s="39" t="inlineStr">
        <is>
          <t>✅ MVP 2</t>
        </is>
      </c>
      <c r="D13" s="80" t="inlineStr">
        <is>
          <t>❌</t>
        </is>
      </c>
      <c r="E13" s="80" t="inlineStr">
        <is>
          <t>❌</t>
        </is>
      </c>
      <c r="F13" s="80" t="inlineStr">
        <is>
          <t>❌</t>
        </is>
      </c>
      <c r="G13" s="80" t="inlineStr">
        <is>
          <t>❌</t>
        </is>
      </c>
      <c r="H13" s="80" t="inlineStr">
        <is>
          <t>❌</t>
        </is>
      </c>
    </row>
    <row r="14">
      <c r="A14" s="5" t="inlineStr">
        <is>
          <t>Prop 65 auto-disclosure (CA / Amazon)</t>
        </is>
      </c>
      <c r="B14" s="81" t="inlineStr">
        <is>
          <t>❌</t>
        </is>
      </c>
      <c r="C14" s="39" t="inlineStr">
        <is>
          <t>✅ MVP 3</t>
        </is>
      </c>
      <c r="D14" s="81" t="inlineStr">
        <is>
          <t>❌</t>
        </is>
      </c>
      <c r="E14" s="81" t="inlineStr">
        <is>
          <t>❌</t>
        </is>
      </c>
      <c r="F14" s="81" t="inlineStr">
        <is>
          <t>❌</t>
        </is>
      </c>
      <c r="G14" s="81" t="inlineStr">
        <is>
          <t>❌</t>
        </is>
      </c>
      <c r="H14" s="81" t="inlineStr">
        <is>
          <t>❌</t>
        </is>
      </c>
    </row>
    <row r="15">
      <c r="A15" s="9" t="inlineStr">
        <is>
          <t>Amazon SP-API leather category</t>
        </is>
      </c>
      <c r="B15" s="80" t="inlineStr">
        <is>
          <t>❌</t>
        </is>
      </c>
      <c r="C15" s="39" t="inlineStr">
        <is>
          <t>✅ MVP 3</t>
        </is>
      </c>
      <c r="D15" s="39" t="inlineStr">
        <is>
          <t>✅</t>
        </is>
      </c>
      <c r="E15" s="80" t="inlineStr">
        <is>
          <t>⚠</t>
        </is>
      </c>
      <c r="F15" s="80" t="inlineStr">
        <is>
          <t>❌</t>
        </is>
      </c>
      <c r="G15" s="80" t="inlineStr">
        <is>
          <t>❌</t>
        </is>
      </c>
      <c r="H15" s="80" t="inlineStr">
        <is>
          <t>❌</t>
        </is>
      </c>
    </row>
    <row r="16">
      <c r="A16" s="5" t="inlineStr">
        <is>
          <t>LWG / Oeko-Tex certification field</t>
        </is>
      </c>
      <c r="B16" s="81" t="inlineStr">
        <is>
          <t>❌</t>
        </is>
      </c>
      <c r="C16" s="84" t="inlineStr">
        <is>
          <t>⏳ V2</t>
        </is>
      </c>
      <c r="D16" s="81" t="inlineStr">
        <is>
          <t>❌</t>
        </is>
      </c>
      <c r="E16" s="81" t="inlineStr">
        <is>
          <t>❌</t>
        </is>
      </c>
      <c r="F16" s="81" t="inlineStr">
        <is>
          <t>❌</t>
        </is>
      </c>
      <c r="G16" s="81" t="inlineStr">
        <is>
          <t>❌</t>
        </is>
      </c>
      <c r="H16" s="81" t="inlineStr">
        <is>
          <t>❌</t>
        </is>
      </c>
    </row>
    <row r="17">
      <c r="A17" s="9" t="inlineStr">
        <is>
          <t>Etsy material attribute mapping</t>
        </is>
      </c>
      <c r="B17" s="80" t="inlineStr">
        <is>
          <t>⚠ Generic</t>
        </is>
      </c>
      <c r="C17" s="39" t="inlineStr">
        <is>
          <t>✅ MVP 3</t>
        </is>
      </c>
      <c r="D17" s="39" t="inlineStr">
        <is>
          <t>✅</t>
        </is>
      </c>
      <c r="E17" s="39" t="inlineStr">
        <is>
          <t>✅</t>
        </is>
      </c>
      <c r="F17" s="80" t="inlineStr">
        <is>
          <t>⚠</t>
        </is>
      </c>
      <c r="G17" s="80" t="inlineStr">
        <is>
          <t>❌</t>
        </is>
      </c>
      <c r="H17" s="80" t="inlineStr">
        <is>
          <t>❌</t>
        </is>
      </c>
    </row>
    <row r="19" ht="5" customHeight="1"/>
    <row r="20" ht="16" customHeight="1">
      <c r="A20" s="3" t="inlineStr">
        <is>
          <t>2. Competitive Summary</t>
        </is>
      </c>
    </row>
    <row r="21" ht="28" customHeight="1">
      <c r="A21" s="4" t="inlineStr">
        <is>
          <t>Company</t>
        </is>
      </c>
      <c r="B21" s="4" t="inlineStr">
        <is>
          <t>Genuine leather</t>
        </is>
      </c>
      <c r="C21" s="4" t="inlineStr">
        <is>
          <t>Material taxonomy</t>
        </is>
      </c>
      <c r="D21" s="4" t="inlineStr">
        <is>
          <t>FTC compliance</t>
        </is>
      </c>
      <c r="E21" s="4" t="inlineStr">
        <is>
          <t>Competitive threat</t>
        </is>
      </c>
      <c r="F21" s="4" t="inlineStr">
        <is>
          <t>Strategic note</t>
        </is>
      </c>
    </row>
    <row r="22">
      <c r="A22" s="5" t="inlineStr">
        <is>
          <t>Gelato</t>
        </is>
      </c>
      <c r="B22" s="6" t="inlineStr">
        <is>
          <t>None</t>
        </is>
      </c>
      <c r="C22" s="6" t="inlineStr">
        <is>
          <t>None</t>
        </is>
      </c>
      <c r="D22" s="6" t="inlineStr">
        <is>
          <t>None</t>
        </is>
      </c>
      <c r="E22" s="44" t="inlineStr">
        <is>
          <t>Low</t>
        </is>
      </c>
      <c r="F22" s="6" t="inlineStr">
        <is>
          <t>Premium-priced, EU-focused; no leather investment observed</t>
        </is>
      </c>
    </row>
    <row r="23">
      <c r="A23" s="9" t="inlineStr">
        <is>
          <t>Gooten</t>
        </is>
      </c>
      <c r="B23" s="10" t="inlineStr">
        <is>
          <t>None</t>
        </is>
      </c>
      <c r="C23" s="10" t="inlineStr">
        <is>
          <t>None</t>
        </is>
      </c>
      <c r="D23" s="10" t="inlineStr">
        <is>
          <t>None</t>
        </is>
      </c>
      <c r="E23" s="42" t="inlineStr">
        <is>
          <t>Low</t>
        </is>
      </c>
      <c r="F23" s="10" t="inlineStr">
        <is>
          <t>B2B focus; no consumer leather demand signal</t>
        </is>
      </c>
    </row>
    <row r="24">
      <c r="A24" s="5" t="inlineStr">
        <is>
          <t>SPOD</t>
        </is>
      </c>
      <c r="B24" s="6" t="inlineStr">
        <is>
          <t>None</t>
        </is>
      </c>
      <c r="C24" s="6" t="inlineStr">
        <is>
          <t>None</t>
        </is>
      </c>
      <c r="D24" s="6" t="inlineStr">
        <is>
          <t>None</t>
        </is>
      </c>
      <c r="E24" s="44" t="inlineStr">
        <is>
          <t>Low</t>
        </is>
      </c>
      <c r="F24" s="6" t="inlineStr">
        <is>
          <t>Speed-focused (48h); no leather category</t>
        </is>
      </c>
    </row>
    <row r="25">
      <c r="A25" s="45" t="inlineStr">
        <is>
          <t>Printful</t>
        </is>
      </c>
      <c r="B25" s="46" t="inlineStr">
        <is>
          <t>PU/faux</t>
        </is>
      </c>
      <c r="C25" s="46" t="inlineStr">
        <is>
          <t>None</t>
        </is>
      </c>
      <c r="D25" s="46" t="inlineStr">
        <is>
          <t>None</t>
        </is>
      </c>
      <c r="E25" s="40" t="inlineStr">
        <is>
          <t>Medium</t>
        </is>
      </c>
      <c r="F25" s="46" t="inlineStr">
        <is>
          <t>Scale advantage; could add genuine leather if they see Printify traction</t>
        </is>
      </c>
    </row>
    <row r="26">
      <c r="A26" s="45" t="inlineStr">
        <is>
          <t>PrintKK</t>
        </is>
      </c>
      <c r="B26" s="46" t="inlineStr">
        <is>
          <t>Yes ✅</t>
        </is>
      </c>
      <c r="C26" s="46" t="inlineStr">
        <is>
          <t>None</t>
        </is>
      </c>
      <c r="D26" s="46" t="inlineStr">
        <is>
          <t>None</t>
        </is>
      </c>
      <c r="E26" s="40" t="inlineStr">
        <is>
          <t>Medium–High</t>
        </is>
      </c>
      <c r="F26" s="46" t="inlineStr">
        <is>
          <t>Only leather-focused POD — but zero material classification or FTC compliance. Key first-mover threat.</t>
        </is>
      </c>
    </row>
    <row r="27">
      <c r="A27" s="9" t="inlineStr">
        <is>
          <t>Printify</t>
        </is>
      </c>
      <c r="B27" s="10" t="inlineStr">
        <is>
          <t>~45 PU ❌</t>
        </is>
      </c>
      <c r="C27" s="10" t="inlineStr">
        <is>
          <t>None</t>
        </is>
      </c>
      <c r="D27" s="10" t="inlineStr">
        <is>
          <t>None</t>
        </is>
      </c>
      <c r="E27" s="10" t="inlineStr">
        <is>
          <t>N/A (us)</t>
        </is>
      </c>
      <c r="F27" s="10" t="inlineStr">
        <is>
          <t>Opportunity: first POD with structured leather taxonomy + automated FTC compliance = defensive moat</t>
        </is>
      </c>
    </row>
    <row r="29" ht="24" customHeight="1">
      <c r="A29" s="29" t="inlineStr">
        <is>
          <t>⚠ Data from public catalog review and industry reports. PrintKK is the only direct genuine-leather POD threat — but zero taxonomy/compliance. Competitive window: ~18 months before Printful/Gelato close the gap if Printify shows traction.</t>
        </is>
      </c>
    </row>
  </sheetData>
  <mergeCells count="4">
    <mergeCell ref="A20:H20"/>
    <mergeCell ref="A3:H3"/>
    <mergeCell ref="A29:H29"/>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55"/>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24" customWidth="1" min="3" max="3"/>
    <col width="20" customWidth="1" min="4" max="4"/>
    <col width="24" customWidth="1" min="5" max="5"/>
    <col width="12"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s>
  <sheetData>
    <row r="1" ht="16" customHeight="1">
      <c r="A1" s="3" t="inlineStr">
        <is>
          <t>🗓️  24-Week Execution Roadmap &amp; Investment Phasing</t>
        </is>
      </c>
    </row>
    <row r="2" ht="5" customHeight="1"/>
    <row r="3" ht="16" customHeight="1">
      <c r="A3" s="3" t="inlineStr">
        <is>
          <t>1. Phase Overview</t>
        </is>
      </c>
    </row>
    <row r="4" ht="28" customHeight="1">
      <c r="A4" s="4" t="inlineStr">
        <is>
          <t>Phase</t>
        </is>
      </c>
      <c r="B4" s="4" t="inlineStr">
        <is>
          <t>Timeline</t>
        </is>
      </c>
      <c r="C4" s="4" t="inlineStr">
        <is>
          <t>Cost</t>
        </is>
      </c>
      <c r="D4" s="4" t="inlineStr">
        <is>
          <t>Cumulative</t>
        </is>
      </c>
      <c r="E4" s="4" t="inlineStr">
        <is>
          <t>Scope &amp; Key Deliverables</t>
        </is>
      </c>
      <c r="F4" s="4" t="inlineStr">
        <is>
          <t>Exit Criteria / Gate</t>
        </is>
      </c>
      <c r="G4" s="4" t="inlineStr">
        <is>
          <t>Risk flag</t>
        </is>
      </c>
    </row>
    <row r="5" ht="52" customHeight="1">
      <c r="A5" s="9" t="inlineStr">
        <is>
          <t>PoC</t>
        </is>
      </c>
      <c r="B5" s="10" t="inlineStr">
        <is>
          <t>W0</t>
        </is>
      </c>
      <c r="C5" s="10" t="inlineStr">
        <is>
          <t>$0</t>
        </is>
      </c>
      <c r="D5" s="10" t="inlineStr">
        <is>
          <t>$0</t>
        </is>
      </c>
      <c r="E5" s="10" t="inlineStr">
        <is>
          <t>PM outreach to 50 existing Printify customers · Supplier SLA validation (Photograve / Fulfill Engine)</t>
        </is>
      </c>
      <c r="F5" s="10" t="inlineStr">
        <is>
          <t>≥ 5 signed Decorator LOIs + supplier confirmed</t>
        </is>
      </c>
      <c r="G5" s="10" t="inlineStr"/>
    </row>
    <row r="6" ht="52" customHeight="1">
      <c r="A6" s="5" t="inlineStr">
        <is>
          <t>Design Sprint</t>
        </is>
      </c>
      <c r="B6" s="6" t="inlineStr">
        <is>
          <t>W1–W2</t>
        </is>
      </c>
      <c r="C6" s="6" t="inlineStr">
        <is>
          <t>~$20K</t>
        </is>
      </c>
      <c r="D6" s="6" t="inlineStr">
        <is>
          <t>~$20K</t>
        </is>
      </c>
      <c r="E6" s="6" t="inlineStr">
        <is>
          <t>UX for plain-language material labels · MAT-001 scoring state UI (pending/rejected/appeal) · Figma handoff · DS components: quality tier indicator, ECO badge, compliance banner</t>
        </is>
      </c>
      <c r="F6" s="6" t="inlineStr">
        <is>
          <t>Figma approved by FE Director + UX Lead</t>
        </is>
      </c>
      <c r="G6" s="6" t="inlineStr"/>
    </row>
    <row r="7" ht="52" customHeight="1">
      <c r="A7" s="9" t="inlineStr">
        <is>
          <t>MVP 1 — Schema</t>
        </is>
      </c>
      <c r="B7" s="10" t="inlineStr">
        <is>
          <t>W3–W8</t>
        </is>
      </c>
      <c r="C7" s="10" t="inlineStr">
        <is>
          <t>~$80K</t>
        </is>
      </c>
      <c r="D7" s="10" t="inlineStr">
        <is>
          <t>~$100K</t>
        </is>
      </c>
      <c r="E7" s="10" t="inlineStr">
        <is>
          <t>8 schema fields (leather_grade, tanning_method, finish_type, hide_thickness_mm, hide_origin, grain_correction, compliance_cert, eco_claims) · MAT-001 AI classifier · laser_engraving + debossing API enums</t>
        </is>
      </c>
      <c r="F7" s="10" t="inlineStr">
        <is>
          <t>≥ 88% MAT-001 auto-approve · FP &lt; 2% · Audit log live</t>
        </is>
      </c>
      <c r="G7" s="10" t="inlineStr"/>
    </row>
    <row r="8" ht="52" customHeight="1">
      <c r="A8" s="45" t="inlineStr">
        <is>
          <t>MVP 2 — Mockup</t>
        </is>
      </c>
      <c r="B8" s="46" t="inlineStr">
        <is>
          <t>W9–W16</t>
        </is>
      </c>
      <c r="C8" s="46" t="inlineStr">
        <is>
          <t>~$120K</t>
        </is>
      </c>
      <c r="D8" s="46" t="inlineStr">
        <is>
          <t>~$220K</t>
        </is>
      </c>
      <c r="E8" s="46" t="inlineStr">
        <is>
          <t>Static leather texture mockup engine (3 textures/tier · assets locked W9D1) · Decorator portal (8 fields, plain-language) · AI field-assist agent · MAT-001 scoring UX · 5 Decorators complete onboarding</t>
        </is>
      </c>
      <c r="F8" s="46" t="inlineStr">
        <is>
          <t>5 Decorators with 150 valid blueprints · error rate &lt; 10%</t>
        </is>
      </c>
      <c r="G8" s="40" t="inlineStr">
        <is>
          <t>⚠ CRITICAL PATH — 8-week longest phase</t>
        </is>
      </c>
    </row>
    <row r="9" ht="52" customHeight="1">
      <c r="A9" s="5" t="inlineStr">
        <is>
          <t>MVP 3 — Channels</t>
        </is>
      </c>
      <c r="B9" s="6" t="inlineStr">
        <is>
          <t>W17–W24</t>
        </is>
      </c>
      <c r="C9" s="6" t="inlineStr">
        <is>
          <t>~$120K</t>
        </is>
      </c>
      <c r="D9" s="6" t="inlineStr">
        <is>
          <t>~$340K</t>
        </is>
      </c>
      <c r="E9" s="6" t="inlineStr">
        <is>
          <t>Shopify metafields (W17–18) · Etsy material attr (W17–18) · Amazon LeatherType + Prop 65 SP-API (W19–22) · WooCommerce (W23–24) · 150 SKUs live · Pilot Month 1 read</t>
        </is>
      </c>
      <c r="F9" s="41" t="inlineStr">
        <is>
          <t>≥ 20 orders/SKU Month 1 · KILL if &lt; 15 at Month 2</t>
        </is>
      </c>
      <c r="G9" s="6" t="inlineStr">
        <is>
          <t>SP-API approval 2–4w — apply at W10</t>
        </is>
      </c>
    </row>
    <row r="11" ht="5" customHeight="1"/>
    <row r="12" ht="16" customHeight="1">
      <c r="A12" s="3" t="inlineStr">
        <is>
          <t>2. Gantt — Week-by-Week (W0–W24)</t>
        </is>
      </c>
    </row>
    <row r="13">
      <c r="A13" s="85" t="inlineStr">
        <is>
          <t>Phase</t>
        </is>
      </c>
      <c r="B13" s="86" t="inlineStr">
        <is>
          <t>W0</t>
        </is>
      </c>
      <c r="C13" s="86" t="inlineStr">
        <is>
          <t>W1</t>
        </is>
      </c>
      <c r="D13" s="86" t="inlineStr">
        <is>
          <t>W2</t>
        </is>
      </c>
      <c r="E13" s="86" t="inlineStr">
        <is>
          <t>W3</t>
        </is>
      </c>
      <c r="F13" s="86" t="inlineStr">
        <is>
          <t>W4</t>
        </is>
      </c>
      <c r="G13" s="86" t="inlineStr">
        <is>
          <t>W5</t>
        </is>
      </c>
      <c r="H13" s="86" t="inlineStr">
        <is>
          <t>W6</t>
        </is>
      </c>
      <c r="I13" s="86" t="inlineStr">
        <is>
          <t>W7</t>
        </is>
      </c>
      <c r="J13" s="86" t="inlineStr">
        <is>
          <t>W8</t>
        </is>
      </c>
      <c r="K13" s="86" t="inlineStr">
        <is>
          <t>W9</t>
        </is>
      </c>
      <c r="L13" s="86" t="inlineStr">
        <is>
          <t>W10</t>
        </is>
      </c>
      <c r="M13" s="86" t="inlineStr">
        <is>
          <t>W11</t>
        </is>
      </c>
      <c r="N13" s="86" t="inlineStr">
        <is>
          <t>W12</t>
        </is>
      </c>
      <c r="O13" s="86" t="inlineStr">
        <is>
          <t>W13</t>
        </is>
      </c>
      <c r="P13" s="86" t="inlineStr">
        <is>
          <t>W14</t>
        </is>
      </c>
      <c r="Q13" s="86" t="inlineStr">
        <is>
          <t>W15</t>
        </is>
      </c>
      <c r="R13" s="86" t="inlineStr">
        <is>
          <t>W16</t>
        </is>
      </c>
      <c r="S13" s="86" t="inlineStr">
        <is>
          <t>W17</t>
        </is>
      </c>
      <c r="T13" s="86" t="inlineStr">
        <is>
          <t>W18</t>
        </is>
      </c>
      <c r="U13" s="86" t="inlineStr">
        <is>
          <t>W19</t>
        </is>
      </c>
      <c r="V13" s="86" t="inlineStr">
        <is>
          <t>W20</t>
        </is>
      </c>
      <c r="W13" s="86" t="inlineStr">
        <is>
          <t>W21</t>
        </is>
      </c>
      <c r="X13" s="86" t="inlineStr">
        <is>
          <t>W22</t>
        </is>
      </c>
      <c r="Y13" s="86" t="inlineStr">
        <is>
          <t>W23</t>
        </is>
      </c>
      <c r="Z13" s="86" t="inlineStr">
        <is>
          <t>W24</t>
        </is>
      </c>
    </row>
    <row r="14" ht="16" customHeight="1">
      <c r="A14" s="87" t="inlineStr">
        <is>
          <t>PoC</t>
        </is>
      </c>
      <c r="B14" s="88" t="n"/>
    </row>
    <row r="15" ht="16" customHeight="1">
      <c r="A15" s="87" t="inlineStr">
        <is>
          <t>Design Sprint</t>
        </is>
      </c>
      <c r="C15" s="89" t="n"/>
      <c r="D15" s="89" t="n"/>
    </row>
    <row r="16" ht="16" customHeight="1">
      <c r="A16" s="87" t="inlineStr">
        <is>
          <t>MVP 1 — Schema</t>
        </is>
      </c>
      <c r="E16" s="90" t="n"/>
      <c r="F16" s="90" t="n"/>
      <c r="G16" s="90" t="n"/>
      <c r="H16" s="90" t="n"/>
      <c r="I16" s="90" t="n"/>
      <c r="J16" s="90" t="n"/>
    </row>
    <row r="17" ht="16" customHeight="1">
      <c r="A17" s="87" t="inlineStr">
        <is>
          <t>MVP 2 — Mockup</t>
        </is>
      </c>
      <c r="K17" s="91" t="n"/>
      <c r="L17" s="91" t="n"/>
      <c r="M17" s="91" t="n"/>
      <c r="N17" s="91" t="n"/>
      <c r="O17" s="91" t="n"/>
      <c r="P17" s="91" t="n"/>
      <c r="Q17" s="91" t="n"/>
      <c r="R17" s="91" t="n"/>
    </row>
    <row r="18" ht="16" customHeight="1">
      <c r="A18" s="87" t="inlineStr">
        <is>
          <t>MVP 3 — Channels</t>
        </is>
      </c>
      <c r="S18" s="92" t="n"/>
      <c r="T18" s="92" t="n"/>
      <c r="U18" s="92" t="n"/>
      <c r="V18" s="92" t="n"/>
      <c r="W18" s="92" t="n"/>
      <c r="X18" s="92" t="n"/>
      <c r="Y18" s="92" t="n"/>
      <c r="Z18" s="92" t="n"/>
    </row>
    <row r="21" customHeight="1">
      <c r="A21" t="inlineStr">
        <is>
          <t>Phase</t>
        </is>
      </c>
      <c r="B21" t="inlineStr">
        <is>
          <t>Phase Cost $K</t>
        </is>
      </c>
      <c r="C21" t="inlineStr">
        <is>
          <t>Cumulative $K</t>
        </is>
      </c>
    </row>
    <row r="22" customHeight="1">
      <c r="A22" t="inlineStr">
        <is>
          <t>PoC</t>
        </is>
      </c>
      <c r="B22" t="n">
        <v>0</v>
      </c>
      <c r="C22" t="n">
        <v>0</v>
      </c>
    </row>
    <row r="23" customHeight="1">
      <c r="A23" t="inlineStr">
        <is>
          <t>Design Sprint</t>
        </is>
      </c>
      <c r="B23" t="n">
        <v>20</v>
      </c>
      <c r="C23" t="n">
        <v>20</v>
      </c>
    </row>
    <row r="24" customHeight="1">
      <c r="A24" t="inlineStr">
        <is>
          <t>MVP 1</t>
        </is>
      </c>
      <c r="B24" t="n">
        <v>80</v>
      </c>
      <c r="C24" t="n">
        <v>100</v>
      </c>
    </row>
    <row r="25" customHeight="1">
      <c r="A25" t="inlineStr">
        <is>
          <t>MVP 2</t>
        </is>
      </c>
      <c r="B25" t="n">
        <v>120</v>
      </c>
      <c r="C25" t="n">
        <v>220</v>
      </c>
    </row>
    <row r="26" customHeight="1">
      <c r="A26" t="inlineStr">
        <is>
          <t>MVP 3</t>
        </is>
      </c>
      <c r="B26" t="n">
        <v>120</v>
      </c>
      <c r="C26" t="n">
        <v>340</v>
      </c>
    </row>
    <row r="47" ht="16" customHeight="1">
      <c r="A47" s="3" t="inlineStr">
        <is>
          <t>3. KR Validation by Phase</t>
        </is>
      </c>
    </row>
    <row r="48" ht="28" customHeight="1">
      <c r="A48" s="4" t="inlineStr">
        <is>
          <t>Phase</t>
        </is>
      </c>
      <c r="B48" s="4" t="inlineStr">
        <is>
          <t>Hypothesis</t>
        </is>
      </c>
      <c r="C48" s="4" t="inlineStr">
        <is>
          <t>KPI / KR</t>
        </is>
      </c>
      <c r="D48" s="4" t="inlineStr">
        <is>
          <t>Revenue signal</t>
        </is>
      </c>
      <c r="E48" s="4" t="inlineStr">
        <is>
          <t>Decision</t>
        </is>
      </c>
      <c r="F48" s="4" t="inlineStr">
        <is>
          <t>Month equiv.</t>
        </is>
      </c>
    </row>
    <row r="49">
      <c r="A49" s="10" t="inlineStr">
        <is>
          <t>PoC (W0)</t>
        </is>
      </c>
      <c r="B49" s="10" t="inlineStr">
        <is>
          <t>Supply + demand exist</t>
        </is>
      </c>
      <c r="C49" s="10" t="inlineStr">
        <is>
          <t>≥ 5 LOIs · supplier confirmed</t>
        </is>
      </c>
      <c r="D49" s="10" t="inlineStr">
        <is>
          <t>$0 — signal only</t>
        </is>
      </c>
      <c r="E49" s="10" t="inlineStr">
        <is>
          <t>GO / NO-GO to Design Sprint + MVP 1</t>
        </is>
      </c>
      <c r="F49" s="10" t="inlineStr">
        <is>
          <t>Pre-M0</t>
        </is>
      </c>
    </row>
    <row r="50">
      <c r="A50" s="6" t="inlineStr">
        <is>
          <t>Design Sprint</t>
        </is>
      </c>
      <c r="B50" s="6" t="inlineStr">
        <is>
          <t>FE can build in scope</t>
        </is>
      </c>
      <c r="C50" s="6" t="inlineStr">
        <is>
          <t>Figma sign-off in 2 weeks</t>
        </is>
      </c>
      <c r="D50" s="6" t="inlineStr">
        <is>
          <t>$0</t>
        </is>
      </c>
      <c r="E50" s="44" t="inlineStr">
        <is>
          <t>GO / scope reduction</t>
        </is>
      </c>
      <c r="F50" s="6" t="inlineStr">
        <is>
          <t>Pre-M0</t>
        </is>
      </c>
    </row>
    <row r="51">
      <c r="A51" s="10" t="inlineStr">
        <is>
          <t>MVP 1 (W3–W8)</t>
        </is>
      </c>
      <c r="B51" s="10" t="inlineStr">
        <is>
          <t>Schema works end-to-end</t>
        </is>
      </c>
      <c r="C51" s="10" t="inlineStr">
        <is>
          <t>≥ 88% auto-approve · FP &lt; 2%</t>
        </is>
      </c>
      <c r="D51" s="10" t="inlineStr">
        <is>
          <t>$0</t>
        </is>
      </c>
      <c r="E51" s="42" t="inlineStr">
        <is>
          <t>GO to MVP 2 / fix blocker</t>
        </is>
      </c>
      <c r="F51" s="10" t="inlineStr">
        <is>
          <t>Pre-M0</t>
        </is>
      </c>
    </row>
    <row r="52">
      <c r="A52" s="6" t="inlineStr">
        <is>
          <t>MVP 2 (W9–W16)</t>
        </is>
      </c>
      <c r="B52" s="6" t="inlineStr">
        <is>
          <t>Decorators self-onboard</t>
        </is>
      </c>
      <c r="C52" s="6" t="inlineStr">
        <is>
          <t>5 Dec · 150 valid listings</t>
        </is>
      </c>
      <c r="D52" s="6" t="inlineStr">
        <is>
          <t>$0 pre-launch</t>
        </is>
      </c>
      <c r="E52" s="44" t="inlineStr">
        <is>
          <t>GO to marketplace / pivot supply model</t>
        </is>
      </c>
      <c r="F52" s="6" t="inlineStr">
        <is>
          <t>Pre-M0</t>
        </is>
      </c>
    </row>
    <row r="53">
      <c r="A53" s="46" t="inlineStr">
        <is>
          <t>MVP 3 Month 1</t>
        </is>
      </c>
      <c r="B53" s="46" t="inlineStr">
        <is>
          <t>Merchant demand at target</t>
        </is>
      </c>
      <c r="C53" s="46" t="inlineStr">
        <is>
          <t>≥ 20 orders/SKU/month</t>
        </is>
      </c>
      <c r="D53" s="46" t="inlineStr">
        <is>
          <t>~$24K/mo (pilot)</t>
        </is>
      </c>
      <c r="E53" s="40" t="inlineStr">
        <is>
          <t>≥ 50 → scale · &lt; 15 at M2 → KILL</t>
        </is>
      </c>
      <c r="F53" s="46" t="inlineStr">
        <is>
          <t>Month 1</t>
        </is>
      </c>
    </row>
    <row r="54">
      <c r="A54" s="46" t="inlineStr">
        <is>
          <t>Month 2 Gate</t>
        </is>
      </c>
      <c r="B54" s="46" t="inlineStr">
        <is>
          <t>Kill/continue/scale decision</t>
        </is>
      </c>
      <c r="C54" s="46" t="inlineStr">
        <is>
          <t>≥ 20 orders/SKU (base sustained)</t>
        </is>
      </c>
      <c r="D54" s="46" t="inlineStr">
        <is>
          <t>$150K+/mo (base, full scale)</t>
        </is>
      </c>
      <c r="E54" s="40" t="inlineStr">
        <is>
          <t>FULL SCALE / KILL &lt; 15 → stop</t>
        </is>
      </c>
      <c r="F54" s="46" t="inlineStr">
        <is>
          <t>Month 2</t>
        </is>
      </c>
    </row>
    <row r="55">
      <c r="A55" s="10" t="inlineStr">
        <is>
          <t>Month 3</t>
        </is>
      </c>
      <c r="B55" s="10" t="inlineStr">
        <is>
          <t>Base case holds at scale</t>
        </is>
      </c>
      <c r="C55" s="10" t="inlineStr">
        <is>
          <t>≥ 20 orders/SKU sustained</t>
        </is>
      </c>
      <c r="D55" s="10" t="inlineStr">
        <is>
          <t>$150K+/month</t>
        </is>
      </c>
      <c r="E55" s="42" t="inlineStr">
        <is>
          <t>Full build GO / scope v2</t>
        </is>
      </c>
      <c r="F55" s="10" t="inlineStr">
        <is>
          <t>Month 3</t>
        </is>
      </c>
    </row>
  </sheetData>
  <mergeCells count="4">
    <mergeCell ref="A47:G47"/>
    <mergeCell ref="A3:G3"/>
    <mergeCell ref="A1:G1"/>
    <mergeCell ref="A12:G1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30"/>
  <sheetViews>
    <sheetView showGridLines="0" workbookViewId="0">
      <pane ySplit="2" topLeftCell="A3" activePane="bottomLeft" state="frozen"/>
      <selection pane="bottomLeft" activeCell="A1" sqref="A1"/>
    </sheetView>
  </sheetViews>
  <sheetFormatPr baseColWidth="8" defaultRowHeight="15"/>
  <cols>
    <col width="16" customWidth="1" min="1" max="1"/>
    <col width="10" customWidth="1" min="2" max="2"/>
    <col width="36" customWidth="1" min="3" max="3"/>
    <col width="24" customWidth="1" min="4" max="4"/>
    <col width="18" customWidth="1" min="5" max="5"/>
    <col width="10" customWidth="1" min="6" max="6"/>
  </cols>
  <sheetData>
    <row r="1" ht="16" customHeight="1">
      <c r="A1" s="3" t="inlineStr">
        <is>
          <t>🛠️  Implementation Map — Technical &amp; Operational Requirements</t>
        </is>
      </c>
    </row>
    <row r="2" ht="5" customHeight="1"/>
    <row r="3" ht="16" customHeight="1">
      <c r="A3" s="3" t="inlineStr">
        <is>
          <t>1. Blueprint API Schema Extensions (8 new fields)</t>
        </is>
      </c>
    </row>
    <row r="4" ht="28" customHeight="1">
      <c r="A4" s="4" t="inlineStr">
        <is>
          <t>Field name</t>
        </is>
      </c>
      <c r="B4" s="4" t="inlineStr">
        <is>
          <t>Type</t>
        </is>
      </c>
      <c r="C4" s="4" t="inlineStr">
        <is>
          <t>Values / Format</t>
        </is>
      </c>
      <c r="D4" s="4" t="inlineStr">
        <is>
          <t>Phase</t>
        </is>
      </c>
      <c r="E4" s="4" t="inlineStr">
        <is>
          <t>Channel impact</t>
        </is>
      </c>
      <c r="F4" s="4" t="inlineStr">
        <is>
          <t>Risk / Note</t>
        </is>
      </c>
    </row>
    <row r="5">
      <c r="A5" s="9" t="inlineStr">
        <is>
          <t>leather_grade</t>
        </is>
      </c>
      <c r="B5" s="10" t="inlineStr">
        <is>
          <t>enum</t>
        </is>
      </c>
      <c r="C5" s="10" t="inlineStr">
        <is>
          <t>full_grain / top_grain / corrected_grain / split / bonded / pu / vegan</t>
        </is>
      </c>
      <c r="D5" s="10" t="inlineStr">
        <is>
          <t>MVP 1</t>
        </is>
      </c>
      <c r="E5" s="10" t="inlineStr">
        <is>
          <t>Etsy: material attr · Amazon: LeatherType node · Shopify: metafield · FTC MAT-001 anchor</t>
        </is>
      </c>
      <c r="F5" s="43" t="inlineStr">
        <is>
          <t>FTC compliance anchors on this field</t>
        </is>
      </c>
    </row>
    <row r="6">
      <c r="A6" s="5" t="inlineStr">
        <is>
          <t>tanning_method</t>
        </is>
      </c>
      <c r="B6" s="6" t="inlineStr">
        <is>
          <t>enum</t>
        </is>
      </c>
      <c r="C6" s="6" t="inlineStr">
        <is>
          <t>vegetable / chrome / chrome_free / combination</t>
        </is>
      </c>
      <c r="D6" s="6" t="inlineStr">
        <is>
          <t>MVP 1</t>
        </is>
      </c>
      <c r="E6" s="6" t="inlineStr">
        <is>
          <t>Prop 65 trigger: chrome → auto-disclosure for CA / Amazon</t>
        </is>
      </c>
      <c r="F6" s="41" t="inlineStr">
        <is>
          <t>Legal sign-off required by W10</t>
        </is>
      </c>
    </row>
    <row r="7">
      <c r="A7" s="9" t="inlineStr">
        <is>
          <t>finish_type</t>
        </is>
      </c>
      <c r="B7" s="10" t="inlineStr">
        <is>
          <t>enum</t>
        </is>
      </c>
      <c r="C7" s="10" t="inlineStr">
        <is>
          <t>smooth / pebbled / suede / patent / nubuck</t>
        </is>
      </c>
      <c r="D7" s="10" t="inlineStr">
        <is>
          <t>MVP 1</t>
        </is>
      </c>
      <c r="E7" s="10" t="inlineStr">
        <is>
          <t>Mockup engine texture selector · Etsy search filter</t>
        </is>
      </c>
      <c r="F7" s="10" t="inlineStr"/>
    </row>
    <row r="8">
      <c r="A8" s="5" t="inlineStr">
        <is>
          <t>hide_thickness_mm</t>
        </is>
      </c>
      <c r="B8" s="6" t="inlineStr">
        <is>
          <t>float</t>
        </is>
      </c>
      <c r="C8" s="6" t="inlineStr">
        <is>
          <t>≥ 0.8mm wallets · ≥ 1.2mm bags · ≥ 2.0mm belts</t>
        </is>
      </c>
      <c r="D8" s="6" t="inlineStr">
        <is>
          <t>MVP 1</t>
        </is>
      </c>
      <c r="E8" s="6" t="inlineStr">
        <is>
          <t>Quality tier display on PDP · pricing premium signal</t>
        </is>
      </c>
      <c r="F8" s="6" t="inlineStr"/>
    </row>
    <row r="9">
      <c r="A9" s="9" t="inlineStr">
        <is>
          <t>hide_origin</t>
        </is>
      </c>
      <c r="B9" s="10" t="inlineStr">
        <is>
          <t>ISO 3166</t>
        </is>
      </c>
      <c r="C9" s="10" t="inlineStr">
        <is>
          <t>e.g. IT, US, MX, IN</t>
        </is>
      </c>
      <c r="D9" s="10" t="inlineStr">
        <is>
          <t>MVP 1</t>
        </is>
      </c>
      <c r="E9" s="10" t="inlineStr">
        <is>
          <t>Amazon origin attribute · Etsy origin filter · premium pricing signal</t>
        </is>
      </c>
      <c r="F9" s="10" t="inlineStr"/>
    </row>
    <row r="10">
      <c r="A10" s="5" t="inlineStr">
        <is>
          <t>grain_correction</t>
        </is>
      </c>
      <c r="B10" s="6" t="inlineStr">
        <is>
          <t>boolean</t>
        </is>
      </c>
      <c r="C10" s="6" t="inlineStr">
        <is>
          <t>true / false — corrected (sanded) vs. natural grain surface</t>
        </is>
      </c>
      <c r="D10" s="6" t="inlineStr">
        <is>
          <t>MVP 1</t>
        </is>
      </c>
      <c r="E10" s="6" t="inlineStr">
        <is>
          <t>Grade disambiguation: top_grain corrected vs. full_grain natural</t>
        </is>
      </c>
      <c r="F10" s="41" t="inlineStr">
        <is>
          <t>Required to prevent misclassification at ingestion</t>
        </is>
      </c>
    </row>
    <row r="11">
      <c r="A11" s="9" t="inlineStr">
        <is>
          <t>compliance_cert</t>
        </is>
      </c>
      <c r="B11" s="10" t="inlineStr">
        <is>
          <t>enum[]</t>
        </is>
      </c>
      <c r="C11" s="10" t="inlineStr">
        <is>
          <t>ftc_genuine / prop_65_ca / mat_001_approved / none</t>
        </is>
      </c>
      <c r="D11" s="10" t="inlineStr">
        <is>
          <t>MVP 1</t>
        </is>
      </c>
      <c r="E11" s="10" t="inlineStr">
        <is>
          <t>Amazon: Prop 65 auto-disclosure · MAT-001 classifier output · listing gate</t>
        </is>
      </c>
      <c r="F11" s="43" t="inlineStr">
        <is>
          <t>none = block on Amazon channel</t>
        </is>
      </c>
    </row>
    <row r="12">
      <c r="A12" s="5" t="inlineStr">
        <is>
          <t>eco_claims</t>
        </is>
      </c>
      <c r="B12" s="6" t="inlineStr">
        <is>
          <t>enum[]</t>
        </is>
      </c>
      <c r="C12" s="6" t="inlineStr">
        <is>
          <t>lwg_gold / lwg_silver / oeko_tex / reach_compliant / none</t>
        </is>
      </c>
      <c r="D12" s="6" t="inlineStr">
        <is>
          <t>MVP 2</t>
        </is>
      </c>
      <c r="E12" s="6" t="inlineStr">
        <is>
          <t>ECO badge on PDP · sustainability filter · EU channel compliance</t>
        </is>
      </c>
      <c r="F12" s="41" t="inlineStr">
        <is>
          <t>Requires supplier cert verification</t>
        </is>
      </c>
    </row>
    <row r="14" ht="5" customHeight="1"/>
    <row r="15" ht="16" customHeight="1">
      <c r="A15" s="3" t="inlineStr">
        <is>
          <t>2. Native AI Agents</t>
        </is>
      </c>
    </row>
    <row r="16" ht="28" customHeight="1">
      <c r="A16" s="4" t="inlineStr">
        <is>
          <t>Agent</t>
        </is>
      </c>
      <c r="B16" s="4" t="inlineStr">
        <is>
          <t>MVP</t>
        </is>
      </c>
      <c r="C16" s="4" t="inlineStr">
        <is>
          <t>Trigger</t>
        </is>
      </c>
      <c r="D16" s="4" t="inlineStr">
        <is>
          <t>What it does</t>
        </is>
      </c>
      <c r="E16" s="4" t="inlineStr">
        <is>
          <t>Success metric</t>
        </is>
      </c>
      <c r="F16" s="4" t="inlineStr">
        <is>
          <t>Failure mode</t>
        </is>
      </c>
    </row>
    <row r="17" ht="56" customHeight="1">
      <c r="A17" s="9" t="inlineStr">
        <is>
          <t>MAT-001 FTC Classifier</t>
        </is>
      </c>
      <c r="B17" s="10" t="inlineStr">
        <is>
          <t>MVP 1</t>
        </is>
      </c>
      <c r="C17" s="10" t="inlineStr">
        <is>
          <t>Blueprint ingestion — fires on every new leather listing submission</t>
        </is>
      </c>
      <c r="D17" s="10" t="inlineStr">
        <is>
          <t>LLM evaluates listing title + material_tier + description. Detects PU/Bonded labeled "Genuine Leather". Auto-rejects non-compliant with corrected label requirement. Zero ops intervention.</t>
        </is>
      </c>
      <c r="E17" s="10" t="inlineStr">
        <is>
          <t>Auto-approve ≥ 88% · FP rate &lt; 2%</t>
        </is>
      </c>
      <c r="F17" s="43" t="inlineStr">
        <is>
          <t>FP &gt; 2%: legitimate Decorators blocked → churn · FN: PU reaches catalog → FTC risk</t>
        </is>
      </c>
    </row>
    <row r="18" ht="56" customHeight="1">
      <c r="A18" s="5" t="inlineStr">
        <is>
          <t>Field-Assist Agent</t>
        </is>
      </c>
      <c r="B18" s="6" t="inlineStr">
        <is>
          <t>MVP 2</t>
        </is>
      </c>
      <c r="C18" s="6" t="inlineStr">
        <is>
          <t>Decorator opens new blueprint form — fires when product name + supplier entered</t>
        </is>
      </c>
      <c r="D18" s="6" t="inlineStr">
        <is>
          <t>Reads product name + supplier data sheet (PDF/URL). Pre-fills material_tier, tannage_method, finish_type. Decorator reviews and confirms — does not auto-submit.</t>
        </is>
      </c>
      <c r="E18" s="6" t="inlineStr">
        <is>
          <t>Form error rate &lt; 10% · Onboarding &lt; 24h</t>
        </is>
      </c>
      <c r="F18" s="41" t="inlineStr">
        <is>
          <t>Wrong pre-fill: Decorator trusts it → incorrect material_tier → MAT-001 reject loop</t>
        </is>
      </c>
    </row>
    <row r="20" ht="5" customHeight="1"/>
    <row r="21" ht="16" customHeight="1">
      <c r="A21" s="3" t="inlineStr">
        <is>
          <t>3. Channel Integrations (MVP 3 · W17–W24)</t>
        </is>
      </c>
    </row>
    <row r="22" ht="28" customHeight="1">
      <c r="A22" s="4" t="inlineStr">
        <is>
          <t>Channel</t>
        </is>
      </c>
      <c r="B22" s="4" t="inlineStr">
        <is>
          <t>Weeks</t>
        </is>
      </c>
      <c r="C22" s="4" t="inlineStr">
        <is>
          <t>Fields mapped</t>
        </is>
      </c>
      <c r="D22" s="4" t="inlineStr">
        <is>
          <t>Compliance requirement</t>
        </is>
      </c>
      <c r="E22" s="4" t="inlineStr">
        <is>
          <t>Risk</t>
        </is>
      </c>
      <c r="F22" s="4" t="inlineStr">
        <is>
          <t>Priority</t>
        </is>
      </c>
    </row>
    <row r="23">
      <c r="A23" s="9" t="inlineStr">
        <is>
          <t>Shopify</t>
        </is>
      </c>
      <c r="B23" s="10" t="inlineStr">
        <is>
          <t>W17–18</t>
        </is>
      </c>
      <c r="C23" s="10" t="inlineStr">
        <is>
          <t>material_tier → metafield · tannage_method → metafield · ECO badge</t>
        </is>
      </c>
      <c r="D23" s="10" t="inlineStr">
        <is>
          <t>None special</t>
        </is>
      </c>
      <c r="E23" s="10" t="inlineStr"/>
      <c r="F23" s="10" t="inlineStr">
        <is>
          <t>P0</t>
        </is>
      </c>
    </row>
    <row r="24">
      <c r="A24" s="5" t="inlineStr">
        <is>
          <t>Etsy</t>
        </is>
      </c>
      <c r="B24" s="6" t="inlineStr">
        <is>
          <t>W17–18</t>
        </is>
      </c>
      <c r="C24" s="6" t="inlineStr">
        <is>
          <t>material_tier → material attribute · handmade_type auto-mapped</t>
        </is>
      </c>
      <c r="D24" s="6" t="inlineStr">
        <is>
          <t>None special</t>
        </is>
      </c>
      <c r="E24" s="6" t="inlineStr"/>
      <c r="F24" s="6" t="inlineStr">
        <is>
          <t>P0</t>
        </is>
      </c>
    </row>
    <row r="25">
      <c r="A25" s="45" t="inlineStr">
        <is>
          <t>Amazon USA</t>
        </is>
      </c>
      <c r="B25" s="46" t="inlineStr">
        <is>
          <t>W19–22</t>
        </is>
      </c>
      <c r="C25" s="46" t="inlineStr">
        <is>
          <t>material_tier → LeatherType node · prop_65_compliant → Prop 65 auto-disclosure · chrome → mandatory disclosure</t>
        </is>
      </c>
      <c r="D25" s="46" t="inlineStr">
        <is>
          <t>SP-API approval + Prop 65 legal sign-off by W10</t>
        </is>
      </c>
      <c r="E25" s="40" t="inlineStr">
        <is>
          <t>⚠ SP-API approval 2–4w — apply W10</t>
        </is>
      </c>
      <c r="F25" s="46" t="inlineStr">
        <is>
          <t>P0</t>
        </is>
      </c>
    </row>
    <row r="26">
      <c r="A26" s="5" t="inlineStr">
        <is>
          <t>WooCommerce</t>
        </is>
      </c>
      <c r="B26" s="6" t="inlineStr">
        <is>
          <t>W23–24</t>
        </is>
      </c>
      <c r="C26" s="6" t="inlineStr">
        <is>
          <t>material_tier + compliance fields → WC product attributes</t>
        </is>
      </c>
      <c r="D26" s="6" t="inlineStr">
        <is>
          <t>None special</t>
        </is>
      </c>
      <c r="E26" s="6" t="inlineStr"/>
      <c r="F26" s="6" t="inlineStr">
        <is>
          <t>P1</t>
        </is>
      </c>
    </row>
    <row r="27">
      <c r="A27" s="93" t="inlineStr">
        <is>
          <t>TikTok Shop</t>
        </is>
      </c>
      <c r="B27" s="35" t="inlineStr">
        <is>
          <t>V2</t>
        </is>
      </c>
      <c r="C27" s="35" t="inlineStr">
        <is>
          <t>Manual disclosure (no API support for leather type yet)</t>
        </is>
      </c>
      <c r="D27" s="35" t="inlineStr">
        <is>
          <t>Manual Prop 65 for CA sellers</t>
        </is>
      </c>
      <c r="E27" s="35" t="inlineStr"/>
      <c r="F27" s="35" t="inlineStr">
        <is>
          <t>P2</t>
        </is>
      </c>
    </row>
    <row r="28">
      <c r="A28" s="94" t="inlineStr">
        <is>
          <t>PrestaShop</t>
        </is>
      </c>
      <c r="B28" s="38" t="inlineStr">
        <is>
          <t>V2</t>
        </is>
      </c>
      <c r="C28" s="38" t="inlineStr">
        <is>
          <t>Custom module (WC plugin base)</t>
        </is>
      </c>
      <c r="D28" s="38" t="inlineStr">
        <is>
          <t>None special</t>
        </is>
      </c>
      <c r="E28" s="38" t="inlineStr"/>
      <c r="F28" s="38" t="inlineStr">
        <is>
          <t>P2</t>
        </is>
      </c>
    </row>
    <row r="30" ht="24" customHeight="1">
      <c r="A30" s="29" t="inlineStr">
        <is>
          <t>Amazon is the highest-risk integration: SP-API application must start W10 (2–4w approval) and Prop 65 legal sign-off needed before W19 go-live. PrestaShop and TikTok Shop deferred to V2 — low USA volume relative to Shopify/Etsy/Amazon.</t>
        </is>
      </c>
    </row>
  </sheetData>
  <mergeCells count="5">
    <mergeCell ref="A30:F30"/>
    <mergeCell ref="A1:F1"/>
    <mergeCell ref="A3:F3"/>
    <mergeCell ref="A21:F21"/>
    <mergeCell ref="A15:F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2" topLeftCell="A3" activePane="bottomLeft" state="frozen"/>
      <selection pane="bottomLeft" activeCell="A1" sqref="A1"/>
    </sheetView>
  </sheetViews>
  <sheetFormatPr baseColWidth="8" defaultRowHeight="15"/>
  <cols>
    <col width="26" customWidth="1" min="1" max="1"/>
    <col width="48" customWidth="1" min="2" max="2"/>
    <col width="44" customWidth="1" min="3" max="3"/>
    <col width="13" customWidth="1" min="4" max="4"/>
    <col width="18" customWidth="1" min="5" max="5"/>
  </cols>
  <sheetData>
    <row r="1" ht="16" customHeight="1">
      <c r="A1" s="3" t="inlineStr">
        <is>
          <t>Sources &amp; References — Premium Leather PRD · Business Case</t>
        </is>
      </c>
    </row>
    <row r="2" ht="5" customHeight="1"/>
    <row r="3" ht="28" customHeight="1">
      <c r="A3" s="4" t="inlineStr">
        <is>
          <t>Source</t>
        </is>
      </c>
      <c r="B3" s="4" t="inlineStr">
        <is>
          <t>Data point used in PRD</t>
        </is>
      </c>
      <c r="C3" s="4" t="inlineStr">
        <is>
          <t>URL</t>
        </is>
      </c>
      <c r="D3" s="4" t="inlineStr">
        <is>
          <t>Confidence</t>
        </is>
      </c>
      <c r="E3" s="4" t="inlineStr">
        <is>
          <t>Used in</t>
        </is>
      </c>
    </row>
    <row r="4" ht="28" customHeight="1">
      <c r="A4" s="9" t="inlineStr">
        <is>
          <t>Nova One Advisor 2025</t>
        </is>
      </c>
      <c r="B4" s="10" t="inlineStr">
        <is>
          <t>US leather goods market: $54.26B TAM · 6.7% CAGR</t>
        </is>
      </c>
      <c r="C4" s="48">
        <f>HYPERLINK("https://www.novaoneadvisor.com/report/us-leather-goods-market","https://www.novaoneadvisor.com/report/us-leather-goods-market")</f>
        <v/>
      </c>
      <c r="D4" s="84" t="inlineStr">
        <is>
          <t>Medium</t>
        </is>
      </c>
      <c r="E4" s="35" t="inlineStr">
        <is>
          <t>Business Case · PRD</t>
        </is>
      </c>
    </row>
    <row r="5" ht="28" customHeight="1">
      <c r="A5" s="5" t="inlineStr">
        <is>
          <t>accio.com 2025</t>
        </is>
      </c>
      <c r="B5" s="6" t="inlineStr">
        <is>
          <t>Amazon USA BSR: BULLIANT leather wallet — 8,365 units/month (top SKU benchmark)</t>
        </is>
      </c>
      <c r="C5" s="49">
        <f>HYPERLINK("https://www.accio.com/business/amazon-mens-wallet-best-seller","https://www.accio.com/business/amazon-mens-wallet-best-seller")</f>
        <v/>
      </c>
      <c r="D5" s="60" t="inlineStr">
        <is>
          <t>Medium</t>
        </is>
      </c>
      <c r="E5" s="38" t="inlineStr">
        <is>
          <t>Business Case · Proxy · Email</t>
        </is>
      </c>
    </row>
    <row r="6" ht="28" customHeight="1">
      <c r="A6" s="9" t="inlineStr">
        <is>
          <t>eRank 2025</t>
        </is>
      </c>
      <c r="B6" s="10" t="inlineStr">
        <is>
          <t>Etsy USA: "leather" = #215 top keyword · +57% search volume growth Nov–Dec (gifting peak)</t>
        </is>
      </c>
      <c r="C6" s="48">
        <f>HYPERLINK("https://erank.com","https://erank.com")</f>
        <v/>
      </c>
      <c r="D6" s="84" t="inlineStr">
        <is>
          <t>Medium</t>
        </is>
      </c>
      <c r="E6" s="35" t="inlineStr">
        <is>
          <t>Business Case · Proxy</t>
        </is>
      </c>
    </row>
    <row r="7" ht="28" customHeight="1">
      <c r="A7" s="5" t="inlineStr">
        <is>
          <t>ShelfTrend 2025</t>
        </is>
      </c>
      <c r="B7" s="6" t="inlineStr">
        <is>
          <t>Etsy top-quartile leather sellers: 15–25 orders/SKU/mo · "personalized leather bag" GMV $130K–$270K/week</t>
        </is>
      </c>
      <c r="C7" s="49">
        <f>HYPERLINK("https://shelftrend.com","https://shelftrend.com")</f>
        <v/>
      </c>
      <c r="D7" s="60" t="inlineStr">
        <is>
          <t>Medium</t>
        </is>
      </c>
      <c r="E7" s="38" t="inlineStr">
        <is>
          <t>OKRs · Proxy · Business Case</t>
        </is>
      </c>
    </row>
    <row r="8" ht="28" customHeight="1">
      <c r="A8" s="9" t="inlineStr">
        <is>
          <t>FTC — Guides for Use of the Word "Leather"</t>
        </is>
      </c>
      <c r="B8" s="10" t="inlineStr">
        <is>
          <t>MAT-001 labeling rules: PU/bonded leather cannot be marketed as "genuine leather" · auto-reject requirement</t>
        </is>
      </c>
      <c r="C8" s="48">
        <f>HYPERLINK("https://www.ftc.gov/legal-library/browse/rules/guides-use-word-leather","https://www.ftc.gov/legal-library/browse/rules/guides-use-word-leather")</f>
        <v/>
      </c>
      <c r="D8" s="39" t="inlineStr">
        <is>
          <t>High</t>
        </is>
      </c>
      <c r="E8" s="35" t="inlineStr">
        <is>
          <t>PRD · OKRs · Impl. Map</t>
        </is>
      </c>
    </row>
    <row r="9" ht="28" customHeight="1">
      <c r="A9" s="5" t="inlineStr">
        <is>
          <t>Shopify Material Attributes (2025)</t>
        </is>
      </c>
      <c r="B9" s="6" t="inlineStr">
        <is>
          <t>New material attribute standard enabling leather taxonomy in Shopify metafields — no indexing delay vs. Amazon</t>
        </is>
      </c>
      <c r="C9" s="49">
        <f>HYPERLINK("https://help.shopify.com/en/manual/products/details/product-type","https://help.shopify.com/en/manual/products/details/product-type")</f>
        <v/>
      </c>
      <c r="D9" s="19" t="inlineStr">
        <is>
          <t>High</t>
        </is>
      </c>
      <c r="E9" s="38" t="inlineStr">
        <is>
          <t>Roadmap · PRD</t>
        </is>
      </c>
    </row>
    <row r="10" ht="28" customHeight="1">
      <c r="A10" s="9" t="inlineStr">
        <is>
          <t>Amazon SP-API — LeatherType attribute</t>
        </is>
      </c>
      <c r="B10" s="10" t="inlineStr">
        <is>
          <t>Amazon product type node for leather goods · Prop 65 disclosure field · SP-API approval 2–4 weeks</t>
        </is>
      </c>
      <c r="C10" s="48">
        <f>HYPERLINK("https://developer-docs.amazon.com/sp-api/docs/product-type-definitions-api-v2020-09-01-use-case-guide","https://developer-docs.amazon.com/sp-api/docs/product-type-definitions-api-v2020-09-01-use-case-guide")</f>
        <v/>
      </c>
      <c r="D10" s="39" t="inlineStr">
        <is>
          <t>High</t>
        </is>
      </c>
      <c r="E10" s="35" t="inlineStr">
        <is>
          <t>Roadmap · Impl. Map</t>
        </is>
      </c>
    </row>
    <row r="11" ht="28" customHeight="1">
      <c r="A11" s="5" t="inlineStr">
        <is>
          <t>PrintKK — public catalog</t>
        </is>
      </c>
      <c r="B11" s="6" t="inlineStr">
        <is>
          <t>Competitor genuine leather POD: 50-unit MOQ · no taxonomy · no FTC compliance · key first-mover gap</t>
        </is>
      </c>
      <c r="C11" s="49">
        <f>HYPERLINK("https://printkk.com","https://printkk.com")</f>
        <v/>
      </c>
      <c r="D11" s="19" t="inlineStr">
        <is>
          <t>High</t>
        </is>
      </c>
      <c r="E11" s="38" t="inlineStr">
        <is>
          <t>Competitor · Business Case</t>
        </is>
      </c>
    </row>
    <row r="12" ht="28" customHeight="1">
      <c r="A12" s="9" t="inlineStr">
        <is>
          <t>Printify internal catalog audit</t>
        </is>
      </c>
      <c r="B12" s="10" t="inlineStr">
        <is>
          <t>~45 leather products — 100% synthetic PU/faux/vegan · $0 genuine leather GMV confirmed</t>
        </is>
      </c>
      <c r="C12" s="50" t="inlineStr">
        <is>
          <t>Internal</t>
        </is>
      </c>
      <c r="D12" s="39" t="inlineStr">
        <is>
          <t>High</t>
        </is>
      </c>
      <c r="E12" s="35" t="inlineStr">
        <is>
          <t>Business Case · OKRs</t>
        </is>
      </c>
    </row>
    <row r="13" ht="28" customHeight="1">
      <c r="A13" s="5" t="inlineStr">
        <is>
          <t>Leather Working Group (LWG)</t>
        </is>
      </c>
      <c r="B13" s="6" t="inlineStr">
        <is>
          <t>Environmental certification for tanneries: Gold / Silver / Bronze grades — eco_claims field V2 scope</t>
        </is>
      </c>
      <c r="C13" s="49">
        <f>HYPERLINK("https://www.leatherworkinggroup.com","https://www.leatherworkinggroup.com")</f>
        <v/>
      </c>
      <c r="D13" s="19" t="inlineStr">
        <is>
          <t>High</t>
        </is>
      </c>
      <c r="E13" s="38" t="inlineStr">
        <is>
          <t>Impl. Map · Glossary</t>
        </is>
      </c>
    </row>
    <row r="14" ht="28" customHeight="1">
      <c r="A14" s="9" t="inlineStr">
        <is>
          <t>GitHub — Full deliverables</t>
        </is>
      </c>
      <c r="B14" s="10" t="inlineStr">
        <is>
          <t>PRD HTML, Excel model, demand charts, roadmap — public repo for Printify/FYUL review</t>
        </is>
      </c>
      <c r="C14" s="48">
        <f>HYPERLINK("https://github.com/elenacastan-maker/fyul-pm-interview-prep","https://github.com/elenacastan-maker/fyul-pm-interview-prep")</f>
        <v/>
      </c>
      <c r="D14" s="84" t="inlineStr">
        <is>
          <t>N/A</t>
        </is>
      </c>
      <c r="E14" s="35" t="inlineStr">
        <is>
          <t>All</t>
        </is>
      </c>
    </row>
  </sheetData>
  <mergeCells count="1">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0"/>
  <sheetViews>
    <sheetView showGridLines="0" workbookViewId="0">
      <pane ySplit="2" topLeftCell="A3" activePane="bottomLeft" state="frozen"/>
      <selection pane="bottomLeft" activeCell="A1" sqref="A1"/>
    </sheetView>
  </sheetViews>
  <sheetFormatPr baseColWidth="8" defaultRowHeight="15"/>
  <cols>
    <col width="22" customWidth="1" min="1" max="1"/>
    <col width="30" customWidth="1" min="2" max="2"/>
    <col width="70" customWidth="1" min="3" max="3"/>
    <col width="18" customWidth="1" min="4" max="4"/>
  </cols>
  <sheetData>
    <row r="1" ht="16" customHeight="1">
      <c r="A1" s="3" t="inlineStr">
        <is>
          <t>Glossary — Key Terms · Premium Leather PRD</t>
        </is>
      </c>
    </row>
    <row r="2" ht="5" customHeight="1"/>
    <row r="3" ht="28" customHeight="1">
      <c r="A3" s="4" t="inlineStr">
        <is>
          <t>Term</t>
        </is>
      </c>
      <c r="B3" s="4" t="inlineStr">
        <is>
          <t>Full name / context</t>
        </is>
      </c>
      <c r="C3" s="4" t="inlineStr">
        <is>
          <t>Definition</t>
        </is>
      </c>
      <c r="D3" s="4" t="inlineStr">
        <is>
          <t>Where used</t>
        </is>
      </c>
    </row>
    <row r="4" ht="36" customHeight="1">
      <c r="A4" s="9" t="inlineStr">
        <is>
          <t>POD</t>
        </is>
      </c>
      <c r="B4" s="35" t="inlineStr">
        <is>
          <t>Print on Demand</t>
        </is>
      </c>
      <c r="C4" s="10" t="inlineStr">
        <is>
          <t>Manufacturing model where products are made only after an order is placed — no inventory held by the seller. Printify operates as a POD marketplace.</t>
        </is>
      </c>
      <c r="D4" s="95" t="inlineStr">
        <is>
          <t>Throughout</t>
        </is>
      </c>
    </row>
    <row r="5" ht="36" customHeight="1">
      <c r="A5" s="5" t="inlineStr">
        <is>
          <t>Decorator</t>
        </is>
      </c>
      <c r="B5" s="38" t="inlineStr">
        <is>
          <t>Printify seller</t>
        </is>
      </c>
      <c r="C5" s="6" t="inlineStr">
        <is>
          <t>Printify's term for a merchant who designs products on the platform, sets prices, and sells through their own storefront. Decorators do not hold inventory.</t>
        </is>
      </c>
      <c r="D5" s="96" t="inlineStr">
        <is>
          <t>Throughout</t>
        </is>
      </c>
    </row>
    <row r="6" ht="36" customHeight="1">
      <c r="A6" s="9" t="inlineStr">
        <is>
          <t>Blueprint</t>
        </is>
      </c>
      <c r="B6" s="35" t="inlineStr">
        <is>
          <t>Printify product template</t>
        </is>
      </c>
      <c r="C6" s="10" t="inlineStr">
        <is>
          <t>A Printify template that defines the base product, customization area, print provider, and pricing. Decorators create listings from blueprints.</t>
        </is>
      </c>
      <c r="D6" s="95" t="inlineStr">
        <is>
          <t>PRD · OKRs</t>
        </is>
      </c>
    </row>
    <row r="7" ht="36" customHeight="1">
      <c r="A7" s="5" t="inlineStr">
        <is>
          <t>SKU</t>
        </is>
      </c>
      <c r="B7" s="38" t="inlineStr">
        <is>
          <t>Stock Keeping Unit</t>
        </is>
      </c>
      <c r="C7" s="6" t="inlineStr">
        <is>
          <t>A unique identifier for a specific product variant (e.g. a black full-grain leather wallet, laser-engraved). Used to track sales velocity per listing.</t>
        </is>
      </c>
      <c r="D7" s="96" t="inlineStr">
        <is>
          <t>Throughout</t>
        </is>
      </c>
    </row>
    <row r="8" ht="36" customHeight="1">
      <c r="A8" s="9" t="inlineStr">
        <is>
          <t>GMV</t>
        </is>
      </c>
      <c r="B8" s="35" t="inlineStr">
        <is>
          <t>Gross Merchandise Value</t>
        </is>
      </c>
      <c r="C8" s="10" t="inlineStr">
        <is>
          <t>Total value of orders processed through the platform before fees, refunds, or chargebacks. Platform margin = GMV × take rate.</t>
        </is>
      </c>
      <c r="D8" s="95" t="inlineStr">
        <is>
          <t>Business Case · OKRs</t>
        </is>
      </c>
    </row>
    <row r="9" ht="36" customHeight="1">
      <c r="A9" s="5" t="inlineStr">
        <is>
          <t>AOV</t>
        </is>
      </c>
      <c r="B9" s="38" t="inlineStr">
        <is>
          <t>Average Order Value</t>
        </is>
      </c>
      <c r="C9" s="6" t="inlineStr">
        <is>
          <t>Average revenue per completed transaction. Premium leather AOV: $45–65 vs. $18–25 for apparel — key driver of the $8/order margin assumption.</t>
        </is>
      </c>
      <c r="D9" s="96" t="inlineStr">
        <is>
          <t>Business Case · Proxy</t>
        </is>
      </c>
    </row>
    <row r="10" ht="36" customHeight="1">
      <c r="A10" s="9" t="inlineStr">
        <is>
          <t>MOQ</t>
        </is>
      </c>
      <c r="B10" s="35" t="inlineStr">
        <is>
          <t>Minimum Order Quantity</t>
        </is>
      </c>
      <c r="C10" s="10" t="inlineStr">
        <is>
          <t>Minimum number of units a supplier requires per order. PrintKK requires 50-unit MOQ; Printify's 1-unit MOQ is a key competitive differentiator.</t>
        </is>
      </c>
      <c r="D10" s="95" t="inlineStr">
        <is>
          <t>Competitor · Business Case</t>
        </is>
      </c>
    </row>
    <row r="11" ht="36" customHeight="1">
      <c r="A11" s="5" t="inlineStr">
        <is>
          <t>TAM</t>
        </is>
      </c>
      <c r="B11" s="38" t="inlineStr">
        <is>
          <t>Total Addressable Market</t>
        </is>
      </c>
      <c r="C11" s="6" t="inlineStr">
        <is>
          <t>The total global demand for a product category if there were no competition or constraints. US leather goods TAM: $54.26B (Nova One Advisor 2025).</t>
        </is>
      </c>
      <c r="D11" s="96" t="inlineStr">
        <is>
          <t>Business Case</t>
        </is>
      </c>
    </row>
    <row r="12" ht="36" customHeight="1">
      <c r="A12" s="9" t="inlineStr">
        <is>
          <t>SAM</t>
        </is>
      </c>
      <c r="B12" s="35" t="inlineStr">
        <is>
          <t>Serviceable Addressable Market</t>
        </is>
      </c>
      <c r="C12" s="10" t="inlineStr">
        <is>
          <t>The portion of TAM that a business can realistically target given its model. For Printify: personalized/custom leather goods sold online via POD.</t>
        </is>
      </c>
      <c r="D12" s="95" t="inlineStr">
        <is>
          <t>Business Case</t>
        </is>
      </c>
    </row>
    <row r="13" ht="36" customHeight="1">
      <c r="A13" s="5" t="inlineStr">
        <is>
          <t>SOM</t>
        </is>
      </c>
      <c r="B13" s="38" t="inlineStr">
        <is>
          <t>Serviceable Obtainable Market</t>
        </is>
      </c>
      <c r="C13" s="6" t="inlineStr">
        <is>
          <t>The portion of SAM a company can realistically capture. Modeled as Printify's leather category revenue at pilot scale → full scale.</t>
        </is>
      </c>
      <c r="D13" s="96" t="inlineStr">
        <is>
          <t>Business Case</t>
        </is>
      </c>
    </row>
    <row r="14" ht="36" customHeight="1">
      <c r="A14" s="9" t="inlineStr">
        <is>
          <t>BSR</t>
        </is>
      </c>
      <c r="B14" s="35" t="inlineStr">
        <is>
          <t>Best Seller Rank (Amazon)</t>
        </is>
      </c>
      <c r="C14" s="10" t="inlineStr">
        <is>
          <t>Amazon's ranking of products by sales velocity within a category. Used as a demand proxy: BULLIANT leather wallet BSR = 8,365 units/month.</t>
        </is>
      </c>
      <c r="D14" s="95" t="inlineStr">
        <is>
          <t>Proxy Data</t>
        </is>
      </c>
    </row>
    <row r="15" ht="36" customHeight="1">
      <c r="A15" s="5" t="inlineStr">
        <is>
          <t>FTC</t>
        </is>
      </c>
      <c r="B15" s="38" t="inlineStr">
        <is>
          <t>Federal Trade Commission (US)</t>
        </is>
      </c>
      <c r="C15" s="6" t="inlineStr">
        <is>
          <t>US regulatory body enforcing truthful product labeling. The FTC Guides for Textile &amp; Leather (MAT-001) require accurate leather grade disclosure.</t>
        </is>
      </c>
      <c r="D15" s="96" t="inlineStr">
        <is>
          <t>PRD · OKRs · Impl. Map</t>
        </is>
      </c>
    </row>
    <row r="16" ht="36" customHeight="1">
      <c r="A16" s="9" t="inlineStr">
        <is>
          <t>MAT-001</t>
        </is>
      </c>
      <c r="B16" s="35" t="inlineStr">
        <is>
          <t>FTC Leather Labeling Standard</t>
        </is>
      </c>
      <c r="C16" s="10" t="inlineStr">
        <is>
          <t>The FTC guide prohibiting bonded, split, or PU leather from being labeled "genuine leather." Violation risk: product delisting + fines. The AI classifier enforces this at ingestion.</t>
        </is>
      </c>
      <c r="D16" s="95" t="inlineStr">
        <is>
          <t>PRD · OKRs · Impl. Map</t>
        </is>
      </c>
    </row>
    <row r="17" ht="36" customHeight="1">
      <c r="A17" s="5" t="inlineStr">
        <is>
          <t>Prop 65</t>
        </is>
      </c>
      <c r="B17" s="38" t="inlineStr">
        <is>
          <t>California Proposition 65</t>
        </is>
      </c>
      <c r="C17" s="6" t="inlineStr">
        <is>
          <t>California law requiring businesses to warn consumers about significant exposures to chemicals causing cancer or reproductive harm. Chrome-tanned leather may trigger Prop 65 disclosure on Amazon.</t>
        </is>
      </c>
      <c r="D17" s="96" t="inlineStr">
        <is>
          <t>Impl. Map · Roadmap</t>
        </is>
      </c>
    </row>
    <row r="18" ht="36" customHeight="1">
      <c r="A18" s="9" t="inlineStr">
        <is>
          <t>LWG</t>
        </is>
      </c>
      <c r="B18" s="35" t="inlineStr">
        <is>
          <t>Leather Working Group</t>
        </is>
      </c>
      <c r="C18" s="10" t="inlineStr">
        <is>
          <t>International certification body for environmentally responsible leather production. Grades: Gold / Silver / Bronze. Referenced in eco_claims schema field (V2 scope).</t>
        </is>
      </c>
      <c r="D18" s="95" t="inlineStr">
        <is>
          <t>Impl. Map · References</t>
        </is>
      </c>
    </row>
    <row r="19" ht="36" customHeight="1">
      <c r="A19" s="5" t="inlineStr">
        <is>
          <t>Oeko-Tex</t>
        </is>
      </c>
      <c r="B19" s="38" t="inlineStr">
        <is>
          <t>Oeko-Tex Standard 100</t>
        </is>
      </c>
      <c r="C19" s="6" t="inlineStr">
        <is>
          <t>International certification confirming leather/textiles are free from harmful substances. Relevant for eco_claims field and EU market compliance.</t>
        </is>
      </c>
      <c r="D19" s="96" t="inlineStr">
        <is>
          <t>Impl. Map</t>
        </is>
      </c>
    </row>
    <row r="20" ht="36" customHeight="1">
      <c r="A20" s="9" t="inlineStr">
        <is>
          <t>REACH</t>
        </is>
      </c>
      <c r="B20" s="35" t="inlineStr">
        <is>
          <t>EU Chemical Regulation</t>
        </is>
      </c>
      <c r="C20" s="10" t="inlineStr">
        <is>
          <t>EU regulation restricting hazardous substances in products. Relevant for chrome-tanned leather sold in EU — Cr(VI) limits apply.</t>
        </is>
      </c>
      <c r="D20" s="95" t="inlineStr">
        <is>
          <t>Impl. Map</t>
        </is>
      </c>
    </row>
    <row r="21" ht="36" customHeight="1">
      <c r="A21" s="5" t="inlineStr">
        <is>
          <t>SP-API</t>
        </is>
      </c>
      <c r="B21" s="38" t="inlineStr">
        <is>
          <t>Amazon Selling Partner API</t>
        </is>
      </c>
      <c r="C21" s="6" t="inlineStr">
        <is>
          <t>Amazon's API for marketplace integrations. Printify must apply for SP-API approval (~2–4 weeks) to list leather products with LeatherType node and Prop 65 auto-disclosure.</t>
        </is>
      </c>
      <c r="D21" s="96" t="inlineStr">
        <is>
          <t>Roadmap · Impl. Map</t>
        </is>
      </c>
    </row>
    <row r="22" ht="36" customHeight="1">
      <c r="A22" s="9" t="inlineStr">
        <is>
          <t>Shopify metafield</t>
        </is>
      </c>
      <c r="B22" s="35" t="inlineStr">
        <is>
          <t>Shopify custom product field</t>
        </is>
      </c>
      <c r="C22" s="10" t="inlineStr">
        <is>
          <t>Custom data fields extending Shopify product records beyond standard attributes. Printify uses these to pass material attributes (leather_grade, tanning_method) to Shopify channel. No indexing lag vs. Amazon.</t>
        </is>
      </c>
      <c r="D22" s="95" t="inlineStr">
        <is>
          <t>Roadmap · PRD</t>
        </is>
      </c>
    </row>
    <row r="23" ht="36" customHeight="1">
      <c r="A23" s="5" t="inlineStr">
        <is>
          <t>leather_grade</t>
        </is>
      </c>
      <c r="B23" s="38" t="inlineStr">
        <is>
          <t>Schema field — quality tier</t>
        </is>
      </c>
      <c r="C23" s="6" t="inlineStr">
        <is>
          <t>Core material classification: full_grain / top_grain / corrected_grain / split / bonded / pu / vegan. Anchors FTC MAT-001 compliance and marketplace category routing.</t>
        </is>
      </c>
      <c r="D23" s="96" t="inlineStr">
        <is>
          <t>PRD · Impl. Map</t>
        </is>
      </c>
    </row>
    <row r="24" ht="36" customHeight="1">
      <c r="A24" s="9" t="inlineStr">
        <is>
          <t>tanning_method</t>
        </is>
      </c>
      <c r="B24" s="35" t="inlineStr">
        <is>
          <t>Schema field — production method</t>
        </is>
      </c>
      <c r="C24" s="10" t="inlineStr">
        <is>
          <t>How the hide was treated: vegetable / chrome / chrome_free / combination. Chrome triggers Prop 65 auto-disclosure on Amazon.</t>
        </is>
      </c>
      <c r="D24" s="95" t="inlineStr">
        <is>
          <t>PRD · Impl. Map</t>
        </is>
      </c>
    </row>
    <row r="25" ht="36" customHeight="1">
      <c r="A25" s="5" t="inlineStr">
        <is>
          <t>grain_correction</t>
        </is>
      </c>
      <c r="B25" s="38" t="inlineStr">
        <is>
          <t>Schema field — surface treatment</t>
        </is>
      </c>
      <c r="C25" s="6" t="inlineStr">
        <is>
          <t>Boolean: true = corrected (sanded) grain surface, false = natural grain. Required to prevent misclassifying corrected top_grain as full_grain.</t>
        </is>
      </c>
      <c r="D25" s="96" t="inlineStr">
        <is>
          <t>PRD · Impl. Map</t>
        </is>
      </c>
    </row>
    <row r="26" ht="36" customHeight="1">
      <c r="A26" s="9" t="inlineStr">
        <is>
          <t>compliance_cert</t>
        </is>
      </c>
      <c r="B26" s="35" t="inlineStr">
        <is>
          <t>Schema field — compliance status</t>
        </is>
      </c>
      <c r="C26" s="10" t="inlineStr">
        <is>
          <t>Array enum: ftc_genuine / prop_65_ca / mat_001_approved / none. Drives listing gate logic — "none" blocks listing on Amazon channel.</t>
        </is>
      </c>
      <c r="D26" s="95" t="inlineStr">
        <is>
          <t>PRD · Impl. Map</t>
        </is>
      </c>
    </row>
    <row r="27" ht="36" customHeight="1">
      <c r="A27" s="5" t="inlineStr">
        <is>
          <t>eco_claims</t>
        </is>
      </c>
      <c r="B27" s="38" t="inlineStr">
        <is>
          <t>Schema field — sustainability</t>
        </is>
      </c>
      <c r="C27" s="6" t="inlineStr">
        <is>
          <t>Array enum: lwg_gold / lwg_silver / oeko_tex / reach_compliant / none. MVP 2 scope — powers ECO badge on PDP and EU channel compliance.</t>
        </is>
      </c>
      <c r="D27" s="96" t="inlineStr">
        <is>
          <t>PRD · Impl. Map</t>
        </is>
      </c>
    </row>
    <row r="28" ht="36" customHeight="1">
      <c r="A28" s="9" t="inlineStr">
        <is>
          <t>Kill gate</t>
        </is>
      </c>
      <c r="B28" s="35" t="inlineStr">
        <is>
          <t>Investment decision trigger</t>
        </is>
      </c>
      <c r="C28" s="10" t="inlineStr">
        <is>
          <t>A predefined performance threshold that, if not met, triggers immediate halt of investment. This PRD's kill gate: &lt;15 orders/SKU at Month 2 post-launch → halt &amp; reallocate team.</t>
        </is>
      </c>
      <c r="D28" s="95" t="inlineStr">
        <is>
          <t>Throughout</t>
        </is>
      </c>
    </row>
    <row r="29" ht="36" customHeight="1">
      <c r="A29" s="5" t="inlineStr">
        <is>
          <t>Phase gate</t>
        </is>
      </c>
      <c r="B29" s="38" t="inlineStr">
        <is>
          <t>Stage-gate decision framework</t>
        </is>
      </c>
      <c r="C29" s="6" t="inlineStr">
        <is>
          <t>A structured decision point between project phases where continuation is contingent on meeting predefined criteria. Each phase must earn the right to spend the next budget tranche.</t>
        </is>
      </c>
      <c r="D29" s="96" t="inlineStr">
        <is>
          <t>Throughout</t>
        </is>
      </c>
    </row>
    <row r="30" ht="36" customHeight="1">
      <c r="A30" s="9" t="inlineStr">
        <is>
          <t>Field-assist agent</t>
        </is>
      </c>
      <c r="B30" s="35" t="inlineStr">
        <is>
          <t>AI pre-fill tool</t>
        </is>
      </c>
      <c r="C30" s="10" t="inlineStr">
        <is>
          <t>A native AI agent that reads a supplier's product name + data sheet and pre-fills the 8 schema fields. Reduces form error rate from ~20–35% (unassisted) to &lt;10%.</t>
        </is>
      </c>
      <c r="D30" s="95" t="inlineStr">
        <is>
          <t>PRD · OKRs</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2026-08-19T16:05:05Z</dcterms:created>
  <dcterms:modified xmlns:dcterms="http://purl.org/dc/terms/" xmlns:xsi="http://www.w3.org/2001/XMLSchema-instance" xsi:type="dcterms:W3CDTF">2026-08-19T16:05:05Z</dcterms:modified>
</cp:coreProperties>
</file>