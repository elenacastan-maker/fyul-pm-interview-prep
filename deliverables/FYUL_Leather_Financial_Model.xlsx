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 Sizing (TAM·SAM·SOM)" sheetId="1" r:id="rId5"/>
    <sheet state="visible" name="OKRs &amp; KPIs" sheetId="2" r:id="rId6"/>
    <sheet state="visible" name="Proxy Data &amp; Metrics" sheetId="3" r:id="rId7"/>
    <sheet state="visible" name="Business Case" sheetId="4" r:id="rId8"/>
    <sheet state="visible" name="Competitor Benchmark" sheetId="5" r:id="rId9"/>
    <sheet state="visible" name="Roadmap" sheetId="6" r:id="rId10"/>
    <sheet state="visible" name="Implementation Map" sheetId="7" r:id="rId11"/>
    <sheet state="visible" name="References" sheetId="8" r:id="rId12"/>
    <sheet state="visible" name="Glossary" sheetId="9" r:id="rId13"/>
  </sheets>
  <definedNames/>
  <calcPr/>
</workbook>
</file>

<file path=xl/sharedStrings.xml><?xml version="1.0" encoding="utf-8"?>
<sst xmlns="http://schemas.openxmlformats.org/spreadsheetml/2006/main" count="1225" uniqueCount="866">
  <si>
    <t>US Personalized Leather — Market Sizing  ·  TAM / SAM / SOM</t>
  </si>
  <si>
    <t>🎯  OKRs &amp; KPIs — Premium Leather Goods · Printify Supply Pillar</t>
  </si>
  <si>
    <t>Why Printify should act now — the market we can capture and lead in the US gifting vertical</t>
  </si>
  <si>
    <t>📊  Proxy Data · Sources · Metric Gaps — Premium Leather PRD</t>
  </si>
  <si>
    <t>1. Market Funnel — TAM → SAM → SOM</t>
  </si>
  <si>
    <t>Level</t>
  </si>
  <si>
    <t>1. Market Demand Signals (USA)</t>
  </si>
  <si>
    <t>STRATEGIC INTENT — Establish Printify as the go-to POD ecosystem for genuine leather goods, unlocking merchant AOVs of $35–$80 (vs. $18–$25 apparel) and building a defensive moat through structured taxonomy + automated FTC compliance. No competitor has this today — 12–18 month first-mover window.
HOW TO READ THIS TABLE — Each Key Result (KR) describes a specific metric being moved. FROM shows the current baseline state (what exists today). TO shows the concrete target. WHY explains the rationale for choosing that specific number. EVIDENCE shows the data source or benchmark this target is anchored to. Targets are not aspirational — they are the minimum threshold for ROI justification on the $340K investment.</t>
  </si>
  <si>
    <t>What it means</t>
  </si>
  <si>
    <t>USA Market Size (GMV)</t>
  </si>
  <si>
    <t>Platform margin</t>
  </si>
  <si>
    <t>Basis / Assumption</t>
  </si>
  <si>
    <t>Status</t>
  </si>
  <si>
    <t>TAM</t>
  </si>
  <si>
    <t>Signal</t>
  </si>
  <si>
    <t>Total Addressable Market
All US personalized leather goods purchasable online</t>
  </si>
  <si>
    <t>Platform</t>
  </si>
  <si>
    <t>Value / Data point</t>
  </si>
  <si>
    <t>$2.5B / yr</t>
  </si>
  <si>
    <t>Source</t>
  </si>
  <si>
    <t>Confidence</t>
  </si>
  <si>
    <t>Gap / Assumption</t>
  </si>
  <si>
    <t>1 · OKR Framework — 3 Objectives · 7 Key Results  ·  Each KR shows: FROM (baseline) → TO (target) · WHY · EVIDENCE</t>
  </si>
  <si>
    <t>—</t>
  </si>
  <si>
    <t>"custom leather wallet" keyword rank</t>
  </si>
  <si>
    <t>$54.26B US leather goods (Nova One Advisor 2025) × ~5% personalized/custom share × ~50% POD-accessible online channel</t>
  </si>
  <si>
    <t>Etsy USA</t>
  </si>
  <si>
    <t>Market exists</t>
  </si>
  <si>
    <t>SAM</t>
  </si>
  <si>
    <t>#215 top search term · $35–$70 AOV · 125%+ CTR</t>
  </si>
  <si>
    <t>Serviceable Addressable Market
POD Decorators Printify can realistically reach in the US</t>
  </si>
  <si>
    <t>~$375M / yr</t>
  </si>
  <si>
    <t>Objective</t>
  </si>
  <si>
    <t>~$30M / yr</t>
  </si>
  <si>
    <t>#</t>
  </si>
  <si>
    <t>Metric moved</t>
  </si>
  <si>
    <t>TAM × ~15% Printify POD platform market share. Platform margin estimated at ~8% of GMV ($8 margin on ~$40–$80 AOV)</t>
  </si>
  <si>
    <t>FROM — current state</t>
  </si>
  <si>
    <t>TO — target</t>
  </si>
  <si>
    <t>Reachable</t>
  </si>
  <si>
    <t>Why this target</t>
  </si>
  <si>
    <t>Evidence / basis</t>
  </si>
  <si>
    <t>Phase</t>
  </si>
  <si>
    <t>SOM — Year 1
(Post kill-gate)</t>
  </si>
  <si>
    <t>1 · Low-Friction Onboarding</t>
  </si>
  <si>
    <t>Serviceable Obtainable Market · Year 1
20 Decorators · 600 SKUs · base case 20 orders/SKU/mo
Pilot (5 Dec) passes G2 gate → scale to 20 Dec by Month 12</t>
  </si>
  <si>
    <t>KR 1.1</t>
  </si>
  <si>
    <t>$576K / yr GMV</t>
  </si>
  <si>
    <t>Medium</t>
  </si>
  <si>
    <t>~$1.2M / yr</t>
  </si>
  <si>
    <t>Rank fluctuates; not exclusive to POD buyers</t>
  </si>
  <si>
    <t>600 SKUs × 20 orders/SKU/mo × $8 × 12 months. Assumes kill gate passed at Month 2 and ramp to 20 Decorators by end of Year 1. Pilot alone (5 Dec): $288K/yr.</t>
  </si>
  <si>
    <t>"personalized leather bag" weekly GMV</t>
  </si>
  <si>
    <t>Decorator onboarding time (portal → first approved blueprint)</t>
  </si>
  <si>
    <t>▶ GO</t>
  </si>
  <si>
    <t>$130K–$270K / week</t>
  </si>
  <si>
    <t>SOM — Year 2
(Scale to 50 Dec)</t>
  </si>
  <si>
    <t>No leather portal today. Generic multi-field form without AI assist = 3–5 days (email back-and-forth)</t>
  </si>
  <si>
    <t>Serviceable Obtainable Market · Year 2
50 Decorators · 1,500 SKUs · base case</t>
  </si>
  <si>
    <t>$1.44M / yr GMV</t>
  </si>
  <si>
    <t>&lt; 24 hours</t>
  </si>
  <si>
    <t>Aggregated across all sellers — POD share unknown</t>
  </si>
  <si>
    <t>Each day of delay = supply bottleneck. Long onboarding → Decorator abandonment → 150-SKU pilot fails before launch</t>
  </si>
  <si>
    <t>Top leather wallet SKU monthly units</t>
  </si>
  <si>
    <t>$2.9M / yr</t>
  </si>
  <si>
    <t>Amazon USA</t>
  </si>
  <si>
    <t>1,500 SKUs × 20 orders/SKU/mo × $8 × 12. Requires G2 kill gate passed and catalog expansion approved. Optimistic (50/SKU): $7.2M/yr.</t>
  </si>
  <si>
    <t>BULLIANT wallet — 8,365 units / month (BSR rank)</t>
  </si>
  <si>
    <t>Printify apparel onboarding benchmark: complex forms without AI assist average 3–5 days. AI field-assist pre-fills 8 schema fields → estimated 70% reduction. Target 24h is achievable with assisted flow.</t>
  </si>
  <si>
    <t>If GO</t>
  </si>
  <si>
    <t>MVP 2</t>
  </si>
  <si>
    <t>⚪ Not started</t>
  </si>
  <si>
    <t>SOM — Year 5
(Market Leadership)</t>
  </si>
  <si>
    <t>KR 1.2</t>
  </si>
  <si>
    <t>Serviceable Obtainable Market · Year 5
Default global POD platform for FTC-compliant leather
50% SAM capture · namespace:leather lock-in</t>
  </si>
  <si>
    <t>Portal submission form error rate (rejected / total submitted)</t>
  </si>
  <si>
    <t>Estimated 20–35% error rate on unassisted complex multi-field material forms (industry benchmark)</t>
  </si>
  <si>
    <t>&lt; 10%</t>
  </si>
  <si>
    <t>~$187M / yr GMV</t>
  </si>
  <si>
    <t>Single mature listing proxy — new POD SKU enters at 5–20/mo</t>
  </si>
  <si>
    <t>&gt;20% error rate → manual Ops queue required. Each manual review costs ~$40 ops vs. $8 margin/order — unit economics collapse at any volume above pilot</t>
  </si>
  <si>
    <t>$18.7M / yr</t>
  </si>
  <si>
    <t>$375M SAM × 50% Printify capture × ~10% blended platform margin. Requires Shopify App Store v2, namespace:leather spec lock-in, and catalog stickiness from early Decorator onboarding.</t>
  </si>
  <si>
    <t>Industry benchmark: unassisted 5+ field enum forms average 20–35% error rate. Field-Assist Agent (AI pre-fill) reduces error rate to &lt;10% in comparable deployments (Printify internal UX data).</t>
  </si>
  <si>
    <t>USA leather goods market size</t>
  </si>
  <si>
    <t>Leadership</t>
  </si>
  <si>
    <t>MVP 2 Gate</t>
  </si>
  <si>
    <t>$54.26B total · 6.7% CAGR · custom/POD ~$2B addressable (est.)</t>
  </si>
  <si>
    <t>2. How the Numbers Are Built</t>
  </si>
  <si>
    <t>2 · Legal &amp; Compliance</t>
  </si>
  <si>
    <t>KR 2.1</t>
  </si>
  <si>
    <t>MAT-001 FTC classifier auto-approval rate (genuine leather submissions)</t>
  </si>
  <si>
    <t>Step</t>
  </si>
  <si>
    <t>Input</t>
  </si>
  <si>
    <t>Value</t>
  </si>
  <si>
    <t>×</t>
  </si>
  <si>
    <t>Multiplier</t>
  </si>
  <si>
    <t>Low–Medium</t>
  </si>
  <si>
    <t>💰  Business Case — Premium Leather Goods · Complete View</t>
  </si>
  <si>
    <t>=</t>
  </si>
  <si>
    <t>0% auto-approval. No classifier today — 100% of leather submissions require manual compliance review</t>
  </si>
  <si>
    <t>Result</t>
  </si>
  <si>
    <t>POD share is our estimate; no public split available</t>
  </si>
  <si>
    <t>US Leather Goods Market (Nova One Advisor 2025)</t>
  </si>
  <si>
    <t>≥ 88%</t>
  </si>
  <si>
    <t>$54.26B</t>
  </si>
  <si>
    <t>Printify current leather products</t>
  </si>
  <si>
    <t>&lt;88% auto-approval = manual ops scale linearly with volume. At 3,000 orders/mo, manual review destroys the $8 margin/order. 88% sets a floor where ops queue remains manageable</t>
  </si>
  <si>
    <t>Printify catalog</t>
  </si>
  <si>
    <t>~45 products — 100% synthetic PU / faux / vegan</t>
  </si>
  <si>
    <t>5% personalized custom</t>
  </si>
  <si>
    <t>Internal catalog audit</t>
  </si>
  <si>
    <t>High</t>
  </si>
  <si>
    <t>LLM classifiers on structured-label material tasks achieve 85–92% accuracy (Printify compliance team estimate). 88% is the break-even point where automated review covers &gt;10 Decorator catalog scale without additional ops headcount.</t>
  </si>
  <si>
    <t>~$2.7B</t>
  </si>
  <si>
    <t>$0 genuine leather today — confirmed gap</t>
  </si>
  <si>
    <t>Premium leather AOV range</t>
  </si>
  <si>
    <t>Personalized segment</t>
  </si>
  <si>
    <t>$2.7B</t>
  </si>
  <si>
    <t>Etsy / Amazon</t>
  </si>
  <si>
    <t>50% POD-accessible online</t>
  </si>
  <si>
    <t>$35–$80 (vs. $18–$25 apparel)</t>
  </si>
  <si>
    <t>~$1.35B–$2.5B</t>
  </si>
  <si>
    <t>Category benchmarks</t>
  </si>
  <si>
    <t>MVP 1</t>
  </si>
  <si>
    <t>WHAT THIS DOCUMENT IS — A complete, standalone business case for the Premium Leather Goods initiative. It covers the full market opportunity (TAM → SAM → SOM), the first-mover rationale, investment phasing, revenue scenarios under 3 demand assumptions, decision gates with explicit kill criteria, and a final ROI summary.
HOW TO USE IT — Section 1 sizes the market and defines the revenue ceiling. Section 2 explains why acting now (not in 12 months) is the right call. Section 3 shows where the $340K goes and what each phase must deliver to proceed. Section 4 maps the 3 financial scenarios (Conservative / Base / Optimistic) to the $8/order margin model. Section 5 defines the 3 decision gates — each with a GO and a KILL path and the $ at risk if we wait. Section 6 provides the ROI at a glance across all horizons (pilot → Year 2 → Year 5 leadership).</t>
  </si>
  <si>
    <t>AOV proxy; actual margin depends on COGS and decorator pricing</t>
  </si>
  <si>
    <t>POD-addressable TAM</t>
  </si>
  <si>
    <t>"leather" Etsy USA keyword rank · seasonal growth</t>
  </si>
  <si>
    <t>KR 2.2</t>
  </si>
  <si>
    <t>FTC MAT-001 false-positive rate (legitimate Decorators wrongly rejected)</t>
  </si>
  <si>
    <t>$2.5B</t>
  </si>
  <si>
    <t>#215 top keyword · +57% search volume growth Nov–Dec (gifting peak)</t>
  </si>
  <si>
    <t>N/A today — no classifier. PU/bonded leather is listed as "genuine" with zero enforcement</t>
  </si>
  <si>
    <t>&lt; 2%</t>
  </si>
  <si>
    <t>15% Printify market share</t>
  </si>
  <si>
    <t>FP &gt; 2% = legitimate Decorators wrongly blocked → churned account + platform trust damage. Every false block is a supply loss and a reputational risk.</t>
  </si>
  <si>
    <t>~$375M GMV/yr</t>
  </si>
  <si>
    <t>Internal Printify UX benchmark: &lt;2% false rejection rate is the acceptable threshold for gated submission flows. Above 2%, user trust collapses and appeal volume overwhelms Ops (Printify apparel classifier precedent).</t>
  </si>
  <si>
    <t>MVP 1 Gate</t>
  </si>
  <si>
    <t>0. Core Hypothesis</t>
  </si>
  <si>
    <t>Printify GMV</t>
  </si>
  <si>
    <t>$375M</t>
  </si>
  <si>
    <t>3 · Commercial ROI &amp; Velocity</t>
  </si>
  <si>
    <t>8% blended platform margin</t>
  </si>
  <si>
    <t>KR 3.1</t>
  </si>
  <si>
    <t>Active catalog SKUs live before marketplace launch (Etsy + Amazon + Shopify)</t>
  </si>
  <si>
    <t>~$30M/yr margin</t>
  </si>
  <si>
    <t>0 genuine leather SKUs on Printify today (confirmed: internal catalog audit — 45 products, 100% synthetic PU)</t>
  </si>
  <si>
    <t>SOM Y1</t>
  </si>
  <si>
    <t>Seasonal signal; search ≠ confirmed purchase intent</t>
  </si>
  <si>
    <t>150 SKUs (5×30)</t>
  </si>
  <si>
    <t>150 SKUs (pilot)</t>
  </si>
  <si>
    <t>PrintKK competitor — genuine leather MOQ</t>
  </si>
  <si>
    <t>Etsy and Amazon algorithms require minimum catalog depth to surface a new supplier organically. Below 100 active listings = category-invisible. Shopify pilot (W12) starts earlier with fewer SKUs and provides immediate signal.</t>
  </si>
  <si>
    <t>PrintKK</t>
  </si>
  <si>
    <t>150</t>
  </si>
  <si>
    <t>50-unit minimum order · no taxonomy fields · no FTC compliance</t>
  </si>
  <si>
    <t>eRank: minimum ~100 active listings required for category algorithm indexing signal. ShelfTrend: top-quartile leather stores average 120–200 active SKUs. Shopify Material Attributes (2025): no indexing delay — W12 signal valid from day 1.</t>
  </si>
  <si>
    <t>Decorators serving the USA personalized gifting market ($40–$80 AOV) cannot list genuine leather products on Printify today, forcing them to route premium transactions to PrintKK — despite its 50-unit MOQ. If we fix the taxonomy (MAT-001) and add laser engraving with 1-unit MOQ, they will consolidate their leather spend on Printify, validated at ≥$150K GMV/month within 90 days of launch.</t>
  </si>
  <si>
    <t>20 orders/SKU/mo × $8 × 12</t>
  </si>
  <si>
    <t>KR 3.2</t>
  </si>
  <si>
    <t>Sales velocity post-launch: orders / SKU / month (organic, all channels)</t>
  </si>
  <si>
    <t>$288K/yr</t>
  </si>
  <si>
    <t>0 orders/SKU/mo on Printify leather (no genuine leather exists today)</t>
  </si>
  <si>
    <t>SOM Y2</t>
  </si>
  <si>
    <t>≥ 20 / SKU / mo</t>
  </si>
  <si>
    <t>1,500 SKUs (×10 scale)</t>
  </si>
  <si>
    <t>20/SKU is the base-case planning floor for positive ROI on $340K investment (payback ~16 months). Kill gate triggers at &lt;15 at Month 2 — 20 gives a 33% safety margin above the kill threshold.</t>
  </si>
  <si>
    <t>1,500</t>
  </si>
  <si>
    <t>Direct-observation gap: Printify 1-unit MOQ = structural differentiator</t>
  </si>
  <si>
    <t>Proxy: accio.com — BULLIANT leather wallet (Amazon) = 8,365 units/mo. Etsy top-quartile leather sellers: 15–25 orders/SKU/mo (ShelfTrend 2025). 20/SKU is achievable entry point within documented range. Shopify adds a 3rd channel reducing single-platform dependency.</t>
  </si>
  <si>
    <t>MVP 3 / Month 1</t>
  </si>
  <si>
    <t>1. Market Opportunity — TAM · SAM · SOM (US Personalized Leather)</t>
  </si>
  <si>
    <t>High-GMV Decorators routing to PrintKK / direct</t>
  </si>
  <si>
    <t>Outreach assumption</t>
  </si>
  <si>
    <t>Unconfirmed — PoC LOI outreach will validate</t>
  </si>
  <si>
    <t>$2.88M/yr</t>
  </si>
  <si>
    <t>PM hypothesis</t>
  </si>
  <si>
    <t>SOM LT</t>
  </si>
  <si>
    <t>KR 3.3</t>
  </si>
  <si>
    <t>$2.5B TAM</t>
  </si>
  <si>
    <t>Monthly Printify platform margin (leather category, post-pilot scale)</t>
  </si>
  <si>
    <t>Low</t>
  </si>
  <si>
    <t>$0/month leather platform margin (no genuine leather GMV on Printify today)</t>
  </si>
  <si>
    <t>$150K / month</t>
  </si>
  <si>
    <t>$340K investment requires ~$150K/mo run-rate to achieve the ~16-month payback (base case). Below $60K/mo at Month 3 = ROI thesis fails and investment is not recovered on schedule.</t>
  </si>
  <si>
    <t>PoC Gate 0 is the first hard data point</t>
  </si>
  <si>
    <t>10 Dec × 150 SKUs × 20 orders × $8 margin = $150K/mo target. Etsy category GMV proxy: $130K–$270K/week leather category (ShelfTrend 2025) supports 20/SKU base case. Shopify (MVP 2) adds incremental demand channel improving base-case achievability.</t>
  </si>
  <si>
    <t>Month 3</t>
  </si>
  <si>
    <t>5% capture × 8% margin</t>
  </si>
  <si>
    <t>2. Pilot Math — How the Base Case Is Calculated</t>
  </si>
  <si>
    <t>Horizon</t>
  </si>
  <si>
    <t>~$10M/yr</t>
  </si>
  <si>
    <t>2 · KPI Dashboard — Baseline → Pilot Target → Scale Target</t>
  </si>
  <si>
    <t>GMV / yr</t>
  </si>
  <si>
    <t>3. Why Now — The First-Mover Case</t>
  </si>
  <si>
    <t>Platform margin / yr</t>
  </si>
  <si>
    <t>Basis</t>
  </si>
  <si>
    <t>Variable</t>
  </si>
  <si>
    <t>Formula / Explanation</t>
  </si>
  <si>
    <t>Total US personalized leather (POD-addressable)</t>
  </si>
  <si>
    <t>Pilot Decorators</t>
  </si>
  <si>
    <t>Data point</t>
  </si>
  <si>
    <t>KPI</t>
  </si>
  <si>
    <t>What it means for Printify</t>
  </si>
  <si>
    <t>Baseline (FROM)</t>
  </si>
  <si>
    <t>5</t>
  </si>
  <si>
    <t>Pilot target
(5 Dec · 150 SKUs)</t>
  </si>
  <si>
    <t>Zero structured-taxonomy player</t>
  </si>
  <si>
    <t>No POD platform has leather taxonomy + FTC compliance today</t>
  </si>
  <si>
    <t>Scale target
(10+ Dec · 1,500 SKUs)</t>
  </si>
  <si>
    <t>12–18 month first-mover window. First to build = first to lock in Decorator catalogs</t>
  </si>
  <si>
    <t>PoC outreach: 50 existing Printify customers → ~10% conversion → ≥ 5 LOIs</t>
  </si>
  <si>
    <t>$54.26B US leather goods × 5% personalized share × 50% POD-accessible online (Nova One Advisor 2025)</t>
  </si>
  <si>
    <t>Kill / Pause threshold</t>
  </si>
  <si>
    <t>Measurement method</t>
  </si>
  <si>
    <t>Etsy leather demand accelerating</t>
  </si>
  <si>
    <t>Why this threshold</t>
  </si>
  <si>
    <t>"leather" #215 top keyword · +57% search growth Nov–Dec · 125%+ CTR (eRank 2025)</t>
  </si>
  <si>
    <t>Demand is rising NOW. Waiting 12 months means competitors see the same signal and react</t>
  </si>
  <si>
    <t>Amazon demand confirmed</t>
  </si>
  <si>
    <t>BULLIANT wallet: 8,365 units/mo BSR — top POD leather SKU (accio.com)</t>
  </si>
  <si>
    <t>Orders / SKU / month</t>
  </si>
  <si>
    <t>The ceiling is real. New POD SKUs enter at 5–20/mo — pilot target of 20/SKU is achievable</t>
  </si>
  <si>
    <t>Printify-reachable POD Decorators in US</t>
  </si>
  <si>
    <t>Shopify timing</t>
  </si>
  <si>
    <t>0 (no genuine leather today)</t>
  </si>
  <si>
    <t>SKUs per Decorator</t>
  </si>
  <si>
    <t>Material Attributes standard launched 2025 — structured leather channel just opened</t>
  </si>
  <si>
    <t>≥ 20 (base) · ≥ 50 (opt)</t>
  </si>
  <si>
    <t>Integrate now with no SP-API dependency (MVP 2). Wait = competitors integrate first</t>
  </si>
  <si>
    <t>30</t>
  </si>
  <si>
    <t>PrintKK dependency cost</t>
  </si>
  <si>
    <t>≥ 20 sustained</t>
  </si>
  <si>
    <t>Decorators using PrintKK: 50-unit MOQ, no FTC compliance, no portal</t>
  </si>
  <si>
    <t>Every month of inaction: Decorators build their leather catalog on a competitor</t>
  </si>
  <si>
    <t>TAM × 15% Printify platform share · $8 margin on $40–$80 AOV = ~8% blended margin</t>
  </si>
  <si>
    <t>Each Decorator lists 30 products (wallets, bags, journals, belts)</t>
  </si>
  <si>
    <t>Kill gate protection</t>
  </si>
  <si>
    <t>Max loss at Month 2 gate: $220K (not $340K). PoC = $0</t>
  </si>
  <si>
    <t>This is a controlled bet — not a blind $340K commitment. Data decides, not projections</t>
  </si>
  <si>
    <t>&lt; 15 at Month 2 → KILL</t>
  </si>
  <si>
    <t>SOM — Year 1</t>
  </si>
  <si>
    <t>Sources: Nova One Advisor 2025 · accio.com · eRank 2025 · Shopify Material Attributes documentation · Internal Printify Decorator base estimate. SOM figures assume base case (20 orders/SKU/mo); optimistic (50/SKU) would 2.5× all SOM numbers.</t>
  </si>
  <si>
    <t>Post kill-gate · 20 Decorators · 600 SKUs</t>
  </si>
  <si>
    <t>Platform order data · leather material_tier tag</t>
  </si>
  <si>
    <t>Etsy top-quartile leather: 15–25/SKU/mo. 20 = base-case ROI floor. &lt;15 = investment doesn't recover.</t>
  </si>
  <si>
    <t>$576K GMV</t>
  </si>
  <si>
    <t>FTC MAT-001 auto-approve %</t>
  </si>
  <si>
    <t>600 SKUs × 20 orders/mo × $8 × 12. Pilot (5 Dec) passes G2 → scale to 20 Dec by Month 12</t>
  </si>
  <si>
    <t>0% (100% manual review today)</t>
  </si>
  <si>
    <t>Total pilot SKUs</t>
  </si>
  <si>
    <t>SOM — Year 2</t>
  </si>
  <si>
    <t>5 × 30 = 150 · minimum for marketplace algorithm indexing</t>
  </si>
  <si>
    <t>Platform Margin $M/yr</t>
  </si>
  <si>
    <t>FP rate &gt; 2% → PAUSE MVP 1</t>
  </si>
  <si>
    <t>SAM (reachable)</t>
  </si>
  <si>
    <t>Ingestion logs · MAT-001 classifier output</t>
  </si>
  <si>
    <t>50 Decorators · 1,500 SKUs · base case</t>
  </si>
  <si>
    <t>At &lt;88%, ops cost exceeds $8 margin/order at scale. 88% = break-even ops headcount.</t>
  </si>
  <si>
    <t>$1.44M GMV</t>
  </si>
  <si>
    <t>Decorator form error rate</t>
  </si>
  <si>
    <t>~20–35% (industry benchmark, no AI assist)</t>
  </si>
  <si>
    <t>Platform margin / order</t>
  </si>
  <si>
    <t>1,500 SKUs × 20 orders/mo × $8 × 12. Requires G2 passed and catalog expansion approved</t>
  </si>
  <si>
    <t>SOM Year 5 (Leadership · 50% SAM)</t>
  </si>
  <si>
    <t>&gt; 20% → redesign portal + AI flow</t>
  </si>
  <si>
    <t>$8</t>
  </si>
  <si>
    <t>SOM Year 2 (50 Decorators)</t>
  </si>
  <si>
    <t>Portal submission logs (rejected / total)</t>
  </si>
  <si>
    <t>SOM — Year 5</t>
  </si>
  <si>
    <t>&gt;20% → manual Ops queue → each review costs ~$40 vs. $8 margin. Unit economics collapse.</t>
  </si>
  <si>
    <t>Premium leather AOV $45–65 supports $8 vs. standard $5 for apparel</t>
  </si>
  <si>
    <t>SOM Year 1 (20 Decorators)</t>
  </si>
  <si>
    <t>Decorator onboarding time</t>
  </si>
  <si>
    <t>Market leadership · 50% SAM capture · namespace:leather lock-in</t>
  </si>
  <si>
    <t>No leather portal · est. 3–5 days via email</t>
  </si>
  <si>
    <t>~$187M GMV</t>
  </si>
  <si>
    <t>&gt; 48h avg → UX rework</t>
  </si>
  <si>
    <t>Orders/SKU/month (base)</t>
  </si>
  <si>
    <t>$375M SAM × 50% Printify capture × 10% blended margin. Default global POD for FTC-compliant leather</t>
  </si>
  <si>
    <t>Portal timestamp (form start → first approved blueprint)</t>
  </si>
  <si>
    <t>20</t>
  </si>
  <si>
    <t>Long onboarding → abandonment → supply bottleneck. 24h achievable with AI field-assist pre-fill.</t>
  </si>
  <si>
    <t>Top-quartile Etsy leather sellers proxy (kill threshold = &lt; 15 at Month 2)</t>
  </si>
  <si>
    <t>Monthly platform margin</t>
  </si>
  <si>
    <t>@ $8/order Printify platform margin · AOV $40–$80 · Kill gate at Month 2: &lt;15 orders/SKU → max loss $220K (not $340K). SOM Year 1 assumes base case (20/SKU); optimistic (50/SKU) = 2.5× SOM numbers.</t>
  </si>
  <si>
    <t>$0 (no leather GMV today)</t>
  </si>
  <si>
    <t>$24K (pilot: 150 SKUs base case)</t>
  </si>
  <si>
    <t>$150K (base) / $375K (opt)</t>
  </si>
  <si>
    <t>&lt; $10K at Month 3 → re-evaluate ROI</t>
  </si>
  <si>
    <t>Monthly orders (pilot)</t>
  </si>
  <si>
    <t>GMV dashboard · leather category tag</t>
  </si>
  <si>
    <t>2. Why Now — The First-Mover Case (12–18 month window)</t>
  </si>
  <si>
    <t>3,000</t>
  </si>
  <si>
    <t>$150K/mo = $340K investment payback in ~16 months. Below $60K/mo = ROI thesis fails.</t>
  </si>
  <si>
    <t>150 SKUs × 20 orders = 3,000 orders/month</t>
  </si>
  <si>
    <t>Active catalog SKUs</t>
  </si>
  <si>
    <t>0 genuine leather SKUs (catalog audit confirmed)</t>
  </si>
  <si>
    <t>150 SKUs before marketplace launch</t>
  </si>
  <si>
    <t>1,500 SKUs at scale</t>
  </si>
  <si>
    <t>&lt; 100 at MVP 2 Gate → delay launch</t>
  </si>
  <si>
    <t>Blueprint DB · material_tier ≠ null</t>
  </si>
  <si>
    <t>Etsy/Amazon need ~100+ listings for organic indexing signal. Shopify signal available from W12 regardless.</t>
  </si>
  <si>
    <t>Evidence</t>
  </si>
  <si>
    <t>Merchant listing rate</t>
  </si>
  <si>
    <t>Monthly margin (pilot)</t>
  </si>
  <si>
    <t>N/A (no leather portal or supply path today)</t>
  </si>
  <si>
    <t>≥ 60% of enrolled Decorators</t>
  </si>
  <si>
    <t>$24,000</t>
  </si>
  <si>
    <t>≥ 70%</t>
  </si>
  <si>
    <t>&lt; 40% → supply conversion problem</t>
  </si>
  <si>
    <t>3,000 orders × $8 = $24K/month during pilot phase</t>
  </si>
  <si>
    <t>Enrolled Decorators → active listings ratio</t>
  </si>
  <si>
    <t>&lt;40% suggests friction in portal UX or SKU quality review. Triggers redesign before scaling.</t>
  </si>
  <si>
    <t>$5/order (apparel average on Printify)</t>
  </si>
  <si>
    <t>$8 target</t>
  </si>
  <si>
    <t>Demand is rising NOW. Waiting 12 months = competitors see the same signal and react</t>
  </si>
  <si>
    <t>Monthly margin (full scale)</t>
  </si>
  <si>
    <t>BULLIANT wallet: 8,365 units/mo BSR — top POD leather SKU (accio.com 2025)</t>
  </si>
  <si>
    <t>$150,000</t>
  </si>
  <si>
    <t>Below $6 → renegotiate supplier pricing</t>
  </si>
  <si>
    <t>The ceiling is real. New POD SKUs enter at 5–20/mo — pilot target 20/SKU is achievable</t>
  </si>
  <si>
    <t>10 Decorators × 150 SKUs × 20 orders × $8 = $150K/month</t>
  </si>
  <si>
    <t>Order margin report · leather category filter</t>
  </si>
  <si>
    <t>$8 reflects premium AOV ($40–$80) vs apparel ($18–$25). Supplier SLA locks $8 at PoC Gate 0.</t>
  </si>
  <si>
    <t>Integrate in MVP 2 with no SP-API approval needed. Wait = competitors integrate first</t>
  </si>
  <si>
    <t>3 · Decision Gates (Go / Kill / Pause)</t>
  </si>
  <si>
    <t>Annual run-rate (base)</t>
  </si>
  <si>
    <t>$1,800,000</t>
  </si>
  <si>
    <t>$150K/month × 12 months</t>
  </si>
  <si>
    <t>Max loss at Month 2 gate: $220K (not $340K). PoC costs $0</t>
  </si>
  <si>
    <t>Total investment</t>
  </si>
  <si>
    <t>Controlled bet — data decides at Month 2, not projections</t>
  </si>
  <si>
    <t>$340,000</t>
  </si>
  <si>
    <t>PoC $0 + Design Sprint $20K + MVP 1 $80K + MVP 2 $120K + MVP 3 $120K</t>
  </si>
  <si>
    <t>Gate</t>
  </si>
  <si>
    <t>3. Investment Phasing (~$340K Total) — 5 initiatives across 24 weeks</t>
  </si>
  <si>
    <t>Timing</t>
  </si>
  <si>
    <t>Success threshold</t>
  </si>
  <si>
    <t>Payback period (base)</t>
  </si>
  <si>
    <t>GO — Action if met</t>
  </si>
  <si>
    <t>~15–17 months</t>
  </si>
  <si>
    <t>$340K investment ÷ ramping margin — reaches positive at ~Month 15–17</t>
  </si>
  <si>
    <t>KILL/PAUSE — Action if unmet</t>
  </si>
  <si>
    <t>$ at risk</t>
  </si>
  <si>
    <t>Rationale</t>
  </si>
  <si>
    <t>Gate 0 · PoC</t>
  </si>
  <si>
    <t>W0</t>
  </si>
  <si>
    <t>⚠ All proxy data from public sources (ShelfTrend, accio.com, Nova One Advisor, 2025). PoC LOIs and supplier SLAs are the first real data points — Gate 0 validates or kills the initiative before any engineering spend.</t>
  </si>
  <si>
    <t>≥ 5 Signed Decorator LOIs + Supplier SLA confirmed</t>
  </si>
  <si>
    <t>Approve ~$20K Design Sprint</t>
  </si>
  <si>
    <t>Timepoint</t>
  </si>
  <si>
    <t>Conservative (8/SKU)</t>
  </si>
  <si>
    <t>Base Case (20/SKU)</t>
  </si>
  <si>
    <t>THE 5 INITIATIVES WE PROPOSE:
① PoC (W0 · $0) — Before writing a single line of code, the PM validates the supply side: outreach to 50 existing Printify Decorators, obtain ≥5 signed LOIs, confirm supplier SLA (1-unit MOQ, laser engraving). If no LOIs → cancel. Cost: zero.
② Design Sprint (W1–2 · $20K) — UX designs the Decorator portal and the MAT-001 scoring state UI. Plain-language field labels replace technical jargon. New DS components (quality tier indicator, ECO badge, compliance banner) are built once and reused across all surfaces.
③ MVP 1 — Schema &amp; Classifier (W3–8 · $80K) — Engineers add 8 new blueprint schema fields (leather_grade, tanning_method, finish_type, hide_thickness_mm, hide_origin, grain_correction, compliance_cert, eco_claims). The MAT-001 LLM classifier auto-rejects PU/bonded leather mislabeled as "genuine". Kill gate: ≥88% auto-approval, &lt;2% false positives.
④ MVP 2 — Mockup Engine + Shopify Pilot (W9–16 · $120K) — Static leather texture mockup engine (3 textures/tier). AI field-assist agent pre-fills schema fields from supplier data. 5 pilot Decorators onboard and create 150 approved SKUs. Shopify metafield integration ★ goes live at W12 — immediate demand signal before Etsy/Amazon launch.
⑤ MVP 3 — Marketplace Launch (W17–24 · $120K) — 150 SKUs go live across Etsy, Amazon (SP-API, Prop 65), and WooCommerce. Month 1 demand read. Kill decision at Month 2: &lt;15 orders/SKU → halt &amp; reallocate; ≥20 → full scale to 1,500+ SKUs.</t>
  </si>
  <si>
    <t>Optimistic (50/SKU)</t>
  </si>
  <si>
    <t>W16 Shopify G1</t>
  </si>
  <si>
    <t>CANCEL — $0 engineering spent</t>
  </si>
  <si>
    <t>$0</t>
  </si>
  <si>
    <t>M0 Launch</t>
  </si>
  <si>
    <t>Demand signal before any code. PoC costs nothing — wrong to skip it.</t>
  </si>
  <si>
    <t>Gate 1 · MVP 2</t>
  </si>
  <si>
    <t>Month 1</t>
  </si>
  <si>
    <t>W16</t>
  </si>
  <si>
    <t>Weeks</t>
  </si>
  <si>
    <t>150 valid leather SKUs created · portal error rate &lt; 10%</t>
  </si>
  <si>
    <t>Month 2 ◆</t>
  </si>
  <si>
    <t>Cost</t>
  </si>
  <si>
    <t>Cumulative</t>
  </si>
  <si>
    <t>Proceed to Marketplace build</t>
  </si>
  <si>
    <t>Key deliverables</t>
  </si>
  <si>
    <t>Exit criteria / Gate</t>
  </si>
  <si>
    <t>Kill if not met</t>
  </si>
  <si>
    <t>PAUSE — redesign portal UI + AI field-assist flow</t>
  </si>
  <si>
    <t>~$220K</t>
  </si>
  <si>
    <t>PoC</t>
  </si>
  <si>
    <t>Supply readiness before marketplace spend. No point launching 0 SKUs to Etsy/Amazon.</t>
  </si>
  <si>
    <t>PM outreach to 50 existing Printify customers · Supplier SLA validation (Photograve / Fulfill Engine)</t>
  </si>
  <si>
    <t>Gate 2 · M2</t>
  </si>
  <si>
    <t>≥ 5 signed Decorator LOIs + supplier confirmed</t>
  </si>
  <si>
    <t>CANCEL — $0 spent, no engineering</t>
  </si>
  <si>
    <t>Month 2 post-M0</t>
  </si>
  <si>
    <t>≥ 20 orders / SKU / month (organic, all channels)</t>
  </si>
  <si>
    <t>FULL SCALE to 1,500+ SKUs</t>
  </si>
  <si>
    <t>Design Sprint</t>
  </si>
  <si>
    <t>KILL (&lt; 15) — halt &amp; reallocate team</t>
  </si>
  <si>
    <t>W1–W2</t>
  </si>
  <si>
    <t>~$340K</t>
  </si>
  <si>
    <t>~$20K</t>
  </si>
  <si>
    <t>Shopify: immediate signal from W12. Etsy/Amazon: 30-day indexing delay → M2 is first clean read. M1 = launch noise.</t>
  </si>
  <si>
    <t>Figma handoffs · plain-language field labels · MAT-001 scoring state UX · new DS components (quality tier indicator, ECO badge, compliance banner)</t>
  </si>
  <si>
    <t>Figma approved by FE Director + UX Lead</t>
  </si>
  <si>
    <t>⚠ Shopify (MVP 2, W12 pilot): immediate indexing — no algorithm delay. Etsy and Amazon: ~30 days to surface new SKUs organically. Month 1 contains launch noise on marketplace channels — Month 2 is the first clean, comparable signal across all 3 channels.</t>
  </si>
  <si>
    <t>PAUSE — redesign before MVP 1 start</t>
  </si>
  <si>
    <t>MVP 1 — Schema</t>
  </si>
  <si>
    <t>W3–W8</t>
  </si>
  <si>
    <t>Scenario</t>
  </si>
  <si>
    <t>~$80K</t>
  </si>
  <si>
    <t>Monthly Margin $K</t>
  </si>
  <si>
    <t>~$100K</t>
  </si>
  <si>
    <t>Annual Run-Rate $K</t>
  </si>
  <si>
    <t>8 blueprint schema fields · MAT-001 FTC AI classifier · laser_engraving + debossing enum API updates · audit log</t>
  </si>
  <si>
    <t>≥ 88% MAT-001 auto-approve · FP rate &lt; 2% · audit log live</t>
  </si>
  <si>
    <t>Fix blocker before MVP 2</t>
  </si>
  <si>
    <t>MVP 2 — Mockup</t>
  </si>
  <si>
    <t>W9–W16</t>
  </si>
  <si>
    <t>~$120K</t>
  </si>
  <si>
    <t>Static leather texture mockup engine (3 textures/tier, assets locked W9 D1) · Decorator portal UI · AI field-assist agent · scoring UI · 5 Decorators onboarded · Shopify pilot ★</t>
  </si>
  <si>
    <t>5 Decorators with 150 valid approved blueprints · error rate &lt; 10% · Shopify W16 signal</t>
  </si>
  <si>
    <t>PAUSE — redesign portal UI &amp; AI flow · ⚠ 8-week critical path</t>
  </si>
  <si>
    <t>MVP 3 — Channels</t>
  </si>
  <si>
    <t>W17–W24</t>
  </si>
  <si>
    <t>Shopify full (W17–18) · Etsy material attr (W17–18) · Amazon SP-API LeatherType + Prop 65 (W19–22) · WooCommerce (W23–24) · 150 SKUs live · Pilot M1 read</t>
  </si>
  <si>
    <t>≥ 20 orders/SKU Month 1 · Kill if &lt; 15 at Month 2</t>
  </si>
  <si>
    <t>KILL (&lt; 15/SKU at M2) — halt &amp; reallocate team</t>
  </si>
  <si>
    <t>4. Revenue Scenarios (Pilot: 5 Dec × 30 SKUs = 150 SKUs · $8 margin/order)</t>
  </si>
  <si>
    <t>Phases</t>
  </si>
  <si>
    <t>Objectives</t>
  </si>
  <si>
    <t>Key Results (KRs)</t>
  </si>
  <si>
    <t>Orders/SKU/mo</t>
  </si>
  <si>
    <t>Monthly margin</t>
  </si>
  <si>
    <t>PoC + 
Design Sprint</t>
  </si>
  <si>
    <t>Annual run-rate</t>
  </si>
  <si>
    <t>Payback period</t>
  </si>
  <si>
    <t>O1: Prove Decorator Demand</t>
  </si>
  <si>
    <t>Strategic decision</t>
  </si>
  <si>
    <t>KR 1.1: Secure &gt;=5 signed LOIs from active Decorators (150 SKUs total).</t>
  </si>
  <si>
    <t>Conservative</t>
  </si>
  <si>
    <t>O2: Effortless Self-Serve Setup</t>
  </si>
  <si>
    <t>KR 2.1: Achieve &gt;=60% (3/5 Decorators) prototype self-onboarding in &lt;24h without Ops.</t>
  </si>
  <si>
    <t>O1: Eliminate Regulatory &amp; Operational Risk</t>
  </si>
  <si>
    <t>KR 1.1: Increase MAT-001 auto-approval rate from 0% to &gt;=88%.
KR 1.2: Reach F1 &gt;=0.90 classifier precision with &lt;2% false-positive rejections.</t>
  </si>
  <si>
    <t>O2: Build Catalog Schema Foundation</t>
  </si>
  <si>
    <t>KR 2.1: Deploy ~15 structured material attributes (grain, tanning, finish) to catalog backend.</t>
  </si>
  <si>
    <t>&gt; 36 months</t>
  </si>
  <si>
    <t>KILL at Month 2 Gate (&lt; 15 orders)</t>
  </si>
  <si>
    <t>POD industry average — Printify data</t>
  </si>
  <si>
    <t>O1: Capture Shopify Demand Signal</t>
  </si>
  <si>
    <t>KR 1.1: Achieve &gt;=4 orders/SKU/week on Shopify pilot catalog.
KR 1.2: Catalogue 150 approved blueprints (5 Decorators x 30 SKUs).</t>
  </si>
  <si>
    <t>Base Case</t>
  </si>
  <si>
    <t>O2: Autonomous Decorator Portal</t>
  </si>
  <si>
    <t>KR 2.1: Maintain portal blueprint rejection rate &lt;10%.</t>
  </si>
  <si>
    <t>MVP 3 + Post-Launch</t>
  </si>
  <si>
    <t>O1: Multi-Marketplace Sync</t>
  </si>
  <si>
    <t>KR 1.1: Sync &amp; index &gt;=150 SKUs across Amazon (SP-API) and Etsy.
KR 1.2: Maintain &lt;5% portal submission error rate across all 3 live channels.</t>
  </si>
  <si>
    <t>GO — Planning Target</t>
  </si>
  <si>
    <t>O2: Kill / Scale Gate</t>
  </si>
  <si>
    <t>KR 2.1 Pilot Performance &amp; Scale Validation Threshold
 &lt;15 orders/SKU/mo -&gt; STOP ($340K write-off) | 
&gt;=15 orders/SKU/mo -&gt; SCALE (1.5K SKUs).</t>
  </si>
  <si>
    <t>Top-quartile Etsy leather sellers proxy</t>
  </si>
  <si>
    <t>Optimistic</t>
  </si>
  <si>
    <t>~9–10 months</t>
  </si>
  <si>
    <t>SCALE to 1,500+ SKUs</t>
  </si>
  <si>
    <t>Top 5% Etsy / Amazon POD performers proxy</t>
  </si>
  <si>
    <t>★ Shopify channel (MVP 2 pilot, immediate indexing — no algorithm delay) provides incremental demand on top of marketplace benchmarks. Base case of 20 orders/SKU/mo now distributes across Etsy + Amazon + Shopify, reducing single-channel dependency risk and making the kill gate threshold (&lt; 15/SKU) safer to pass.</t>
  </si>
  <si>
    <t>Monthly $K</t>
  </si>
  <si>
    <t>Annual ÷12 $K</t>
  </si>
  <si>
    <t>5. Decision Gates &amp; Kill Criteria</t>
  </si>
  <si>
    <t>GO action</t>
  </si>
  <si>
    <t>KILL / PIVOT action</t>
  </si>
  <si>
    <t>$ at stake</t>
  </si>
  <si>
    <t>≥ 5 Signed LOIs + Supplier SLA ready</t>
  </si>
  <si>
    <t>Approve ~$20K for Design Sprint</t>
  </si>
  <si>
    <t>Demand signal before any code written</t>
  </si>
  <si>
    <t>150 valid SKUs; portal error &lt; 10%</t>
  </si>
  <si>
    <t>Proceed to Marketplace Integrations</t>
  </si>
  <si>
    <t>PAUSE — redesign portal UI &amp; AI flow</t>
  </si>
  <si>
    <t>Supply readiness before marketplace spend</t>
  </si>
  <si>
    <t>Month 2</t>
  </si>
  <si>
    <t>≥ 20 orders / SKU / month</t>
  </si>
  <si>
    <t>FULL SCALE — expand to 1,500+ SKUs</t>
  </si>
  <si>
    <t>M1 has launch noise; M2 = true organic signal</t>
  </si>
  <si>
    <t>M9</t>
  </si>
  <si>
    <t>M12</t>
  </si>
  <si>
    <t>6. ROI at a Glance — Base Case $340K Investment</t>
  </si>
  <si>
    <t>Metric</t>
  </si>
  <si>
    <t>Base Case ✓</t>
  </si>
  <si>
    <t>Year 2 (SOM)</t>
  </si>
  <si>
    <t>Year 5 (Leadership)</t>
  </si>
  <si>
    <t>Decorators</t>
  </si>
  <si>
    <t>50</t>
  </si>
  <si>
    <t>Orders/SKU/month</t>
  </si>
  <si>
    <t>8</t>
  </si>
  <si>
    <t>20 (base)</t>
  </si>
  <si>
    <t>$60K</t>
  </si>
  <si>
    <t>$150K</t>
  </si>
  <si>
    <t>$375K</t>
  </si>
  <si>
    <t>$720K</t>
  </si>
  <si>
    <t>$1.8M</t>
  </si>
  <si>
    <t>$4.5M</t>
  </si>
  <si>
    <t>$2.9M</t>
  </si>
  <si>
    <t>$18.7M</t>
  </si>
  <si>
    <t>&gt; 36 mo</t>
  </si>
  <si>
    <t>~16 mo</t>
  </si>
  <si>
    <t>~9.5 mo</t>
  </si>
  <si>
    <t>$340K</t>
  </si>
  <si>
    <t>Decision at M2</t>
  </si>
  <si>
    <t>KILL</t>
  </si>
  <si>
    <t>GO</t>
  </si>
  <si>
    <t>SCALE</t>
  </si>
  <si>
    <t>Year 2 SOM: 50 Decorators × 1,500 SKUs × 20 orders/mo × $8 × 12 = $2.88M ≈ $2.9M/yr. Year 5 Leadership: $375M SAM × 50% Printify capture × 10% blended margin = $18.75M ≈ $18.7M/yr. Shopify channel (MVP 2, immediate indexing) adds 3rd demand channel — base case of 20/SKU more achievable. See Market Sizing tab for full TAM → SAM → SOM calculation.</t>
  </si>
  <si>
    <t>7. Sources &amp; References</t>
  </si>
  <si>
    <t>Data point used</t>
  </si>
  <si>
    <t>🏁  Competitor Benchmark — Leather POD Landscape</t>
  </si>
  <si>
    <t>URL</t>
  </si>
  <si>
    <t>Nova One Advisor 2025</t>
  </si>
  <si>
    <t>US leather goods market: $54.26B TAM · 6.7% CAGR</t>
  </si>
  <si>
    <t>1. Feature Matrix</t>
  </si>
  <si>
    <t>Capability</t>
  </si>
  <si>
    <t>Printify TODAY</t>
  </si>
  <si>
    <t>Printify POST-PRD</t>
  </si>
  <si>
    <t>Printful</t>
  </si>
  <si>
    <t>Gelato</t>
  </si>
  <si>
    <t>Gooten</t>
  </si>
  <si>
    <t>SPOD</t>
  </si>
  <si>
    <t>accio.com 2025</t>
  </si>
  <si>
    <t>Amazon USA BSR: BULLIANT leather wallet — 8,365 units/month</t>
  </si>
  <si>
    <t>Genuine leather products (Full-Grain / Top-Grain)</t>
  </si>
  <si>
    <t>❌ 0</t>
  </si>
  <si>
    <t>✅ 150+ SKUs</t>
  </si>
  <si>
    <t>❌</t>
  </si>
  <si>
    <t>⚠ Yes, no standards</t>
  </si>
  <si>
    <t>Synthetic PU / faux leather</t>
  </si>
  <si>
    <t>✅ ~45</t>
  </si>
  <si>
    <t>✅</t>
  </si>
  <si>
    <t>eRank 2025</t>
  </si>
  <si>
    <t>Etsy USA: "leather" = #215 top keyword · +57% search growth Nov–Dec</t>
  </si>
  <si>
    <t>Material taxonomy (tier classification)</t>
  </si>
  <si>
    <t>✅ 8 fields</t>
  </si>
  <si>
    <t>FTC compliance / auto-reject mislabeling</t>
  </si>
  <si>
    <t>✅ MAT-001</t>
  </si>
  <si>
    <t>ShelfTrend 2025</t>
  </si>
  <si>
    <t>Laser engraving support</t>
  </si>
  <si>
    <t>Etsy top-quartile leather sellers: 15–25 orders/SKU/mo · "personalized leather bag" GMV $130K–$270K/week</t>
  </si>
  <si>
    <t>✅ MVP 1</t>
  </si>
  <si>
    <t>Debossing support</t>
  </si>
  <si>
    <t>⚠ Partial</t>
  </si>
  <si>
    <t>Leather mockup engine</t>
  </si>
  <si>
    <t>Shopify Materials Attributes (2025)</t>
  </si>
  <si>
    <t>✅ MVP 2</t>
  </si>
  <si>
    <t>New material attribute standard enabling leather taxonomy in Shopify metafields — no indexing lag</t>
  </si>
  <si>
    <t>⚠ Basic</t>
  </si>
  <si>
    <t>Decorator self-onboard portal (leather)</t>
  </si>
  <si>
    <t>AI field-assist for material attributes</t>
  </si>
  <si>
    <t>FTC Guides for Textile &amp; Fur (MAT-001)</t>
  </si>
  <si>
    <t>Genuine leather labeling requirements · PU/bonded cannot be labeled "genuine leather"</t>
  </si>
  <si>
    <t>Prop 65 auto-disclosure (CA / Amazon)</t>
  </si>
  <si>
    <t>✅ MVP 3</t>
  </si>
  <si>
    <t>Amazon SP-API leather category</t>
  </si>
  <si>
    <t>⚠</t>
  </si>
  <si>
    <t>LWG / Oeko-Tex certification field</t>
  </si>
  <si>
    <t>PrintKK (public catalog)</t>
  </si>
  <si>
    <t>Competitor genuine leather POD: 50-unit MOQ · no taxonomy · no FTC compliance</t>
  </si>
  <si>
    <t>⏳ V2</t>
  </si>
  <si>
    <t>Etsy material attribute mapping</t>
  </si>
  <si>
    <t>GitHub — Full PRD &amp; financial model</t>
  </si>
  <si>
    <t>⚠ Generic</t>
  </si>
  <si>
    <t>All deliverables: PRD HTML, Excel workbook, demand charts, interview prep</t>
  </si>
  <si>
    <t>2. Competitive Summary</t>
  </si>
  <si>
    <t>Company</t>
  </si>
  <si>
    <t>Genuine leather</t>
  </si>
  <si>
    <t>Material taxonomy</t>
  </si>
  <si>
    <t>FTC compliance</t>
  </si>
  <si>
    <t>Competitive threat</t>
  </si>
  <si>
    <t>Strategic note</t>
  </si>
  <si>
    <t>None</t>
  </si>
  <si>
    <t>Premium-priced, EU-focused; no leather investment observed</t>
  </si>
  <si>
    <t>B2B focus; no consumer leather demand signal</t>
  </si>
  <si>
    <t>Speed-focused (48h); no leather category</t>
  </si>
  <si>
    <t>PU/faux</t>
  </si>
  <si>
    <t>Scale advantage; could add genuine leather if they see Printify traction</t>
  </si>
  <si>
    <t>Yes ✅</t>
  </si>
  <si>
    <t>Medium–High</t>
  </si>
  <si>
    <t>Only leather-focused POD — but zero material classification or FTC compliance. Key first-mover threat.</t>
  </si>
  <si>
    <t>Printify</t>
  </si>
  <si>
    <t>~45 PU ❌</t>
  </si>
  <si>
    <t>N/A (us)</t>
  </si>
  <si>
    <t>Opportunity: first POD with structured leather taxonomy + automated FTC compliance = defensive moat</t>
  </si>
  <si>
    <t>⚠ Data from public catalog review and industry reports. PrintKK is the only direct genuine-leather POD threat — but zero taxonomy/compliance. Competitive window: ~18 months before Printful/Gelato close the gap if Printify shows traction.</t>
  </si>
  <si>
    <t>🛠️  Implementation Map — Technical &amp; Operational Requirements</t>
  </si>
  <si>
    <t>1. Blueprint API Schema Extensions (8 new fields)</t>
  </si>
  <si>
    <t>Field name</t>
  </si>
  <si>
    <t>Type</t>
  </si>
  <si>
    <t>Values / Format</t>
  </si>
  <si>
    <t>Channel impact</t>
  </si>
  <si>
    <t>Risk / Note</t>
  </si>
  <si>
    <t>leather_grade</t>
  </si>
  <si>
    <t>enum</t>
  </si>
  <si>
    <t>full_grain / top_grain / corrected_grain / split / bonded / pu / vegan</t>
  </si>
  <si>
    <t>Etsy: material attr · Amazon: LeatherType node · Shopify: metafield · FTC MAT-001 anchor</t>
  </si>
  <si>
    <t>FTC compliance anchors on this field</t>
  </si>
  <si>
    <t>🗓️  24-Week Execution Roadmap &amp; Investment Phasing</t>
  </si>
  <si>
    <t>tanning_method</t>
  </si>
  <si>
    <t>vegetable / chrome / chrome_free / combination</t>
  </si>
  <si>
    <t>Prop 65 trigger: chrome → auto-disclosure for CA / Amazon</t>
  </si>
  <si>
    <t>Legal sign-off required by W10</t>
  </si>
  <si>
    <t>1. Phase Overview</t>
  </si>
  <si>
    <t>finish_type</t>
  </si>
  <si>
    <t>smooth / pebbled / suede / patent / nubuck</t>
  </si>
  <si>
    <t>Mockup engine texture selector · Etsy search filter</t>
  </si>
  <si>
    <t>hide_thickness_mm</t>
  </si>
  <si>
    <t>float</t>
  </si>
  <si>
    <t>≥ 0.8mm wallets · ≥ 1.2mm bags · ≥ 2.0mm belts</t>
  </si>
  <si>
    <t>Quality tier display on PDP · pricing premium signal</t>
  </si>
  <si>
    <t>Timeline</t>
  </si>
  <si>
    <t>hide_origin</t>
  </si>
  <si>
    <t>ISO 3166</t>
  </si>
  <si>
    <t>e.g. IT, US, MX, IN</t>
  </si>
  <si>
    <t>Scope &amp; Key Deliverables</t>
  </si>
  <si>
    <t>Amazon origin attribute · Etsy origin filter · premium pricing signal</t>
  </si>
  <si>
    <t>Exit Criteria / Gate</t>
  </si>
  <si>
    <t>Risk flag</t>
  </si>
  <si>
    <t>grain_correction</t>
  </si>
  <si>
    <t>boolean</t>
  </si>
  <si>
    <t>true / false — corrected (sanded) vs. natural grain surface</t>
  </si>
  <si>
    <t>Grade disambiguation: top_grain corrected vs. full_grain natural</t>
  </si>
  <si>
    <t>Required to prevent misclassification at ingestion</t>
  </si>
  <si>
    <t>compliance_cert</t>
  </si>
  <si>
    <t>enum[]</t>
  </si>
  <si>
    <t>ftc_genuine / prop_65_ca / mat_001_approved / none</t>
  </si>
  <si>
    <t>Amazon: Prop 65 auto-disclosure · MAT-001 classifier output · listing gate</t>
  </si>
  <si>
    <t>none = block on Amazon channel</t>
  </si>
  <si>
    <t>eco_claims</t>
  </si>
  <si>
    <t>lwg_gold / lwg_silver / oeko_tex / reach_compliant / none</t>
  </si>
  <si>
    <t>ECO badge on PDP · sustainability filter · EU channel compliance</t>
  </si>
  <si>
    <t>Requires supplier cert verification</t>
  </si>
  <si>
    <t>UX for plain-language material labels · MAT-001 scoring state UI (pending/rejected/appeal) · Figma handoff · DS components: quality tier indicator, ECO badge, compliance banner</t>
  </si>
  <si>
    <t>2. Native AI Agents</t>
  </si>
  <si>
    <t>Agent</t>
  </si>
  <si>
    <t>MVP</t>
  </si>
  <si>
    <t>Trigger</t>
  </si>
  <si>
    <t>What it does</t>
  </si>
  <si>
    <t>Success metric</t>
  </si>
  <si>
    <t>Failure mode</t>
  </si>
  <si>
    <t>MAT-001 FTC Classifier</t>
  </si>
  <si>
    <t>Blueprint ingestion — fires on every new leather listing submission</t>
  </si>
  <si>
    <t>LLM evaluates listing title + material_tier + description. Detects PU/Bonded labeled "Genuine Leather". Auto-rejects non-compliant with corrected label requirement. Zero ops intervention.</t>
  </si>
  <si>
    <t>Auto-approve ≥ 88% · FP rate &lt; 2%</t>
  </si>
  <si>
    <t>FP &gt; 2%: legitimate Decorators blocked → churn · FN: PU reaches catalog → FTC risk</t>
  </si>
  <si>
    <t>Field-Assist Agent</t>
  </si>
  <si>
    <t>Decorator opens new blueprint form — fires when product name + supplier entered</t>
  </si>
  <si>
    <t>8 schema fields (leather_grade, tanning_method, finish_type, hide_thickness_mm, hide_origin, grain_correction, compliance_cert, eco_claims) · MAT-001 AI classifier · laser_engraving + debossing API enums</t>
  </si>
  <si>
    <t>Reads product name + supplier data sheet (PDF/URL). Pre-fills material_tier, tannage_method, finish_type. Decorator reviews and confirms — does not auto-submit.</t>
  </si>
  <si>
    <t>≥ 88% MAT-001 auto-approve · FP &lt; 2% · Audit log live</t>
  </si>
  <si>
    <t>Form error rate &lt; 10% · Onboarding &lt; 24h</t>
  </si>
  <si>
    <t>Wrong pre-fill: Decorator trusts it → incorrect material_tier → MAT-001 reject loop</t>
  </si>
  <si>
    <t>3. Channel Integrations (MVP 3 · W17–W24)</t>
  </si>
  <si>
    <t>Channel</t>
  </si>
  <si>
    <t>Fields mapped</t>
  </si>
  <si>
    <t>Static leather texture mockup engine (3 textures/tier · assets locked W9D1) · Decorator portal (8 fields, plain-language) · AI field-assist agent · MAT-001 scoring UX · 5 Decorators complete onboarding</t>
  </si>
  <si>
    <t>Compliance requirement</t>
  </si>
  <si>
    <t>5 Decorators with 150 valid blueprints · error rate &lt; 10%</t>
  </si>
  <si>
    <t>Risk</t>
  </si>
  <si>
    <t>Priority</t>
  </si>
  <si>
    <t>Shopify</t>
  </si>
  <si>
    <t>W17–18</t>
  </si>
  <si>
    <t>⚠ CRITICAL PATH — 8-week longest phase</t>
  </si>
  <si>
    <t>material_tier → metafield · tannage_method → metafield · ECO badge</t>
  </si>
  <si>
    <t>None special</t>
  </si>
  <si>
    <t>P0</t>
  </si>
  <si>
    <t>Etsy</t>
  </si>
  <si>
    <t>material_tier → material attribute · handmade_type auto-mapped</t>
  </si>
  <si>
    <t>Shopify metafields (W17–18) · Etsy material attr (W17–18) · Amazon LeatherType + Prop 65 SP-API (W19–22) · WooCommerce (W23–24) · 150 SKUs live · Pilot Month 1 read</t>
  </si>
  <si>
    <t>≥ 20 orders/SKU Month 1 · KILL if &lt; 15 at Month 2</t>
  </si>
  <si>
    <t>SP-API approval 2–4w — apply at W10</t>
  </si>
  <si>
    <t>W19–22</t>
  </si>
  <si>
    <t>material_tier → LeatherType node · prop_65_compliant → Prop 65 auto-disclosure · chrome → mandatory disclosure</t>
  </si>
  <si>
    <t>SP-API approval + Prop 65 legal sign-off by W10</t>
  </si>
  <si>
    <t>⚠ SP-API approval 2–4w — apply W10</t>
  </si>
  <si>
    <t>WooCommerce</t>
  </si>
  <si>
    <t>2. Gantt — Week-by-Week (W0–W24)</t>
  </si>
  <si>
    <t>W23–24</t>
  </si>
  <si>
    <t>material_tier + compliance fields → WC product attributes</t>
  </si>
  <si>
    <t>P1</t>
  </si>
  <si>
    <t>TikTok Shop</t>
  </si>
  <si>
    <t>V2</t>
  </si>
  <si>
    <t>Manual disclosure (no API support for leather type yet)</t>
  </si>
  <si>
    <t>Manual Prop 65 for CA sellers</t>
  </si>
  <si>
    <t>P2</t>
  </si>
  <si>
    <t>PrestaShop</t>
  </si>
  <si>
    <t>Custom module (WC plugin base)</t>
  </si>
  <si>
    <t>W1</t>
  </si>
  <si>
    <t>W2</t>
  </si>
  <si>
    <t>W3</t>
  </si>
  <si>
    <t>Amazon is the highest-risk integration: SP-API application must start W10 (2–4w approval) and Prop 65 legal sign-off needed before W19 go-live. PrestaShop and TikTok Shop deferred to V2 — low USA volume relative to Shopify/Etsy/Amazon.</t>
  </si>
  <si>
    <t>W4</t>
  </si>
  <si>
    <t>W5</t>
  </si>
  <si>
    <t>W6</t>
  </si>
  <si>
    <t>W7</t>
  </si>
  <si>
    <t>W8</t>
  </si>
  <si>
    <t>W9</t>
  </si>
  <si>
    <t>W10</t>
  </si>
  <si>
    <t>W11</t>
  </si>
  <si>
    <t>W12</t>
  </si>
  <si>
    <t>W13</t>
  </si>
  <si>
    <t>W14</t>
  </si>
  <si>
    <t>W15</t>
  </si>
  <si>
    <t>W17</t>
  </si>
  <si>
    <t>W18</t>
  </si>
  <si>
    <t>W19</t>
  </si>
  <si>
    <t>W20</t>
  </si>
  <si>
    <t>Sources &amp; References — Premium Leather PRD · Business Case</t>
  </si>
  <si>
    <t>W21</t>
  </si>
  <si>
    <t>W22</t>
  </si>
  <si>
    <t>W23</t>
  </si>
  <si>
    <t>W24</t>
  </si>
  <si>
    <t>Data point used in PRD</t>
  </si>
  <si>
    <t>Used in</t>
  </si>
  <si>
    <t>Business Case · PRD</t>
  </si>
  <si>
    <t>Glossary — Key Terms · Premium Leather PRD</t>
  </si>
  <si>
    <t>Amazon USA BSR: BULLIANT leather wallet — 8,365 units/month (top SKU benchmark)</t>
  </si>
  <si>
    <t>Term</t>
  </si>
  <si>
    <t>Full name / context</t>
  </si>
  <si>
    <t>Definition</t>
  </si>
  <si>
    <t>Where used</t>
  </si>
  <si>
    <t>Phase Cost $K</t>
  </si>
  <si>
    <t>Cumulative $K</t>
  </si>
  <si>
    <t>POD</t>
  </si>
  <si>
    <t>Business Case · Proxy · Email</t>
  </si>
  <si>
    <t>Print on Demand</t>
  </si>
  <si>
    <t>Manufacturing model where products are made only after an order is placed — no inventory held by the seller. Printify operates as a POD marketplace.</t>
  </si>
  <si>
    <t>Etsy USA: "leather" = #215 top keyword · +57% search volume growth Nov–Dec (gifting peak)</t>
  </si>
  <si>
    <t>Throughout</t>
  </si>
  <si>
    <t>Decorator</t>
  </si>
  <si>
    <t>Business Case · Proxy</t>
  </si>
  <si>
    <t>Printify seller</t>
  </si>
  <si>
    <t>MVP 3</t>
  </si>
  <si>
    <t>Printify's term for a merchant who designs products on the platform, sets prices, and sells through their own storefront. Decorators do not hold inventory.</t>
  </si>
  <si>
    <t>Blueprint</t>
  </si>
  <si>
    <t>Printify product template</t>
  </si>
  <si>
    <t>A Printify template that defines the base product, customization area, print provider, and pricing. Decorators create listings from blueprints.</t>
  </si>
  <si>
    <t>PRD · OKRs</t>
  </si>
  <si>
    <t>SKU</t>
  </si>
  <si>
    <t>Stock Keeping Unit</t>
  </si>
  <si>
    <t>A unique identifier for a specific product variant (e.g. a black full-grain leather wallet, laser-engraved). Used to track sales velocity per listing.</t>
  </si>
  <si>
    <t>GMV</t>
  </si>
  <si>
    <t>Gross Merchandise Value</t>
  </si>
  <si>
    <t>Total value of orders processed through the platform before fees, refunds, or chargebacks. Platform margin = GMV × take rate.</t>
  </si>
  <si>
    <t>Business Case · OKRs</t>
  </si>
  <si>
    <t>AOV</t>
  </si>
  <si>
    <t>Average Order Value</t>
  </si>
  <si>
    <t>Average revenue per completed transaction. Premium leather AOV: $45–65 vs. $18–25 for apparel — key driver of the $8/order margin assumption.</t>
  </si>
  <si>
    <t>OKRs · Proxy · Business Case</t>
  </si>
  <si>
    <t>MOQ</t>
  </si>
  <si>
    <t>Minimum Order Quantity</t>
  </si>
  <si>
    <t>FTC — Guides for Use of the Word "Leather"</t>
  </si>
  <si>
    <t>Minimum number of units a supplier requires per order. PrintKK requires 50-unit MOQ; Printify's 1-unit MOQ is a key competitive differentiator.</t>
  </si>
  <si>
    <t>MAT-001 labeling rules: PU/bonded leather cannot be marketed as "genuine leather" · auto-reject requirement</t>
  </si>
  <si>
    <t>Competitor · Business Case</t>
  </si>
  <si>
    <t>Total Addressable Market</t>
  </si>
  <si>
    <t>The total global demand for a product category if there were no competition or constraints. US leather goods TAM: $54.26B (Nova One Advisor 2025).</t>
  </si>
  <si>
    <t>Business Case</t>
  </si>
  <si>
    <t>Serviceable Addressable Market</t>
  </si>
  <si>
    <t>The portion of TAM that a business can realistically target given its model. For Printify: personalized/custom leather goods sold online via POD.</t>
  </si>
  <si>
    <t>SOM</t>
  </si>
  <si>
    <t>Serviceable Obtainable Market</t>
  </si>
  <si>
    <t>The portion of SAM a company can realistically capture. Modeled as Printify's leather category revenue at pilot scale → full scale.</t>
  </si>
  <si>
    <t>BSR</t>
  </si>
  <si>
    <t>PRD · OKRs · Impl. Map</t>
  </si>
  <si>
    <t>3. KR Validation by Phase</t>
  </si>
  <si>
    <t>Best Seller Rank (Amazon)</t>
  </si>
  <si>
    <t>Amazon's ranking of products by sales velocity within a category. Used as a demand proxy: BULLIANT leather wallet BSR = 8,365 units/month.</t>
  </si>
  <si>
    <t>Shopify Material Attributes (2025)</t>
  </si>
  <si>
    <t>Proxy Data</t>
  </si>
  <si>
    <t>New material attribute standard enabling leather taxonomy in Shopify metafields — no indexing delay vs. Amazon</t>
  </si>
  <si>
    <t>FTC</t>
  </si>
  <si>
    <t>Federal Trade Commission (US)</t>
  </si>
  <si>
    <t>US regulatory body enforcing truthful product labeling. The FTC Guides for Textile &amp; Leather (MAT-001) require accurate leather grade disclosure.</t>
  </si>
  <si>
    <t>Roadmap · PRD</t>
  </si>
  <si>
    <t>MAT-001</t>
  </si>
  <si>
    <t>Hypothesis</t>
  </si>
  <si>
    <t>FTC Leather Labeling Standard</t>
  </si>
  <si>
    <t>Amazon SP-API — LeatherType attribute</t>
  </si>
  <si>
    <t>The FTC guide prohibiting bonded, split, or PU leather from being labeled "genuine leather." Violation risk: product delisting + fines. The AI classifier enforces this at ingestion.</t>
  </si>
  <si>
    <t>KPI / KR</t>
  </si>
  <si>
    <t>Amazon product type node for leather goods · Prop 65 disclosure field · SP-API approval 2–4 weeks</t>
  </si>
  <si>
    <t>Revenue signal</t>
  </si>
  <si>
    <t>Prop 65</t>
  </si>
  <si>
    <t>California Proposition 65</t>
  </si>
  <si>
    <t>Decision</t>
  </si>
  <si>
    <t>California law requiring businesses to warn consumers about significant exposures to chemicals causing cancer or reproductive harm. Chrome-tanned leather may trigger Prop 65 disclosure on Amazon.</t>
  </si>
  <si>
    <t>Month equiv.</t>
  </si>
  <si>
    <t>Impl. Map · Roadmap</t>
  </si>
  <si>
    <t>LWG</t>
  </si>
  <si>
    <t>Leather Working Group</t>
  </si>
  <si>
    <t>International certification body for environmentally responsible leather production. Grades: Gold / Silver / Bronze. Referenced in eco_claims schema field (V2 scope).</t>
  </si>
  <si>
    <t>Impl. Map · References</t>
  </si>
  <si>
    <t>PoC (W0)</t>
  </si>
  <si>
    <t>Oeko-Tex</t>
  </si>
  <si>
    <t>Oeko-Tex Standard 100</t>
  </si>
  <si>
    <t>Supply + demand exist</t>
  </si>
  <si>
    <t>≥ 5 LOIs · supplier confirmed</t>
  </si>
  <si>
    <t>Roadmap · Impl. Map</t>
  </si>
  <si>
    <t>$0 — signal only</t>
  </si>
  <si>
    <t>GO / NO-GO to Design Sprint + MVP 1</t>
  </si>
  <si>
    <t>International certification confirming leather/textiles are free from harmful substances. Relevant for eco_claims field and EU market compliance.</t>
  </si>
  <si>
    <t>PrintKK — public catalog</t>
  </si>
  <si>
    <t>Pre-M0</t>
  </si>
  <si>
    <t>Impl. Map</t>
  </si>
  <si>
    <t>Competitor genuine leather POD: 50-unit MOQ · no taxonomy · no FTC compliance · key first-mover gap</t>
  </si>
  <si>
    <t>REACH</t>
  </si>
  <si>
    <t>EU Chemical Regulation</t>
  </si>
  <si>
    <t>EU regulation restricting hazardous substances in products. Relevant for chrome-tanned leather sold in EU — Cr(VI) limits apply.</t>
  </si>
  <si>
    <t>FE can build in scope</t>
  </si>
  <si>
    <t>SP-API</t>
  </si>
  <si>
    <t>Figma sign-off in 2 weeks</t>
  </si>
  <si>
    <t>Amazon Selling Partner API</t>
  </si>
  <si>
    <t>Amazon's API for marketplace integrations. Printify must apply for SP-API approval (~2–4 weeks) to list leather products with LeatherType node and Prop 65 auto-disclosure.</t>
  </si>
  <si>
    <t>Shopify metafield</t>
  </si>
  <si>
    <t>GO / scope reduction</t>
  </si>
  <si>
    <t>Shopify custom product field</t>
  </si>
  <si>
    <t>Custom data fields extending Shopify product records beyond standard attributes. Printify uses these to pass material attributes (leather_grade, tanning_method) to Shopify channel. No indexing lag vs. Amazon.</t>
  </si>
  <si>
    <t>Printify internal catalog audit</t>
  </si>
  <si>
    <t>~45 leather products — 100% synthetic PU/faux/vegan · $0 genuine leather GMV confirmed</t>
  </si>
  <si>
    <t>Schema field — quality tier</t>
  </si>
  <si>
    <t>MVP 1 (W3–W8)</t>
  </si>
  <si>
    <t>Core material classification: full_grain / top_grain / corrected_grain / split / bonded / pu / vegan. Anchors FTC MAT-001 compliance and marketplace category routing.</t>
  </si>
  <si>
    <t>Schema works end-to-end</t>
  </si>
  <si>
    <t>Internal</t>
  </si>
  <si>
    <t>PRD · Impl. Map</t>
  </si>
  <si>
    <t>≥ 88% auto-approve · FP &lt; 2%</t>
  </si>
  <si>
    <t>Schema field — production method</t>
  </si>
  <si>
    <t>How the hide was treated: vegetable / chrome / chrome_free / combination. Chrome triggers Prop 65 auto-disclosure on Amazon.</t>
  </si>
  <si>
    <t>GO to MVP 2 / fix blocker</t>
  </si>
  <si>
    <t>Schema field — surface treatment</t>
  </si>
  <si>
    <t>Leather Working Group (LWG)</t>
  </si>
  <si>
    <t>Boolean: true = corrected (sanded) grain surface, false = natural grain. Required to prevent misclassifying corrected top_grain as full_grain.</t>
  </si>
  <si>
    <t>Environmental certification for tanneries: Gold / Silver / Bronze grades — eco_claims field V2 scope</t>
  </si>
  <si>
    <t>MVP 2 (W9–W16)</t>
  </si>
  <si>
    <t>Decorators self-onboard</t>
  </si>
  <si>
    <t>5 Dec · 150 valid listings</t>
  </si>
  <si>
    <t>Schema field — compliance status</t>
  </si>
  <si>
    <t>$0 pre-launch</t>
  </si>
  <si>
    <t>Array enum: ftc_genuine / prop_65_ca / mat_001_approved / none. Drives listing gate logic — "none" blocks listing on Amazon channel.</t>
  </si>
  <si>
    <t>GO to marketplace / pivot supply model</t>
  </si>
  <si>
    <t>Schema field — sustainability</t>
  </si>
  <si>
    <t>Array enum: lwg_gold / lwg_silver / oeko_tex / reach_compliant / none. MVP 2 scope — powers ECO badge on PDP and EU channel compliance.</t>
  </si>
  <si>
    <t>MVP 3 Month 1</t>
  </si>
  <si>
    <t>Kill gate</t>
  </si>
  <si>
    <t>Investment decision trigger</t>
  </si>
  <si>
    <t>Merchant demand at target</t>
  </si>
  <si>
    <t>Impl. Map · Glossary</t>
  </si>
  <si>
    <t>A predefined performance threshold that, if not met, triggers immediate halt of investment. This PRD's kill gate: &lt;15 orders/SKU at Month 2 post-launch → halt &amp; reallocate team.</t>
  </si>
  <si>
    <t>≥ 20 orders/SKU/month</t>
  </si>
  <si>
    <t>Phase gate</t>
  </si>
  <si>
    <t>~$24K/mo (pilot)</t>
  </si>
  <si>
    <t>GitHub — Full deliverables</t>
  </si>
  <si>
    <t>Stage-gate decision framework</t>
  </si>
  <si>
    <t>≥ 50 → scale · &lt; 15 at M2 → KILL</t>
  </si>
  <si>
    <t>PRD HTML, Excel model, demand charts, roadmap — public repo for Printify/FYUL review</t>
  </si>
  <si>
    <t>A structured decision point between project phases where continuation is contingent on meeting predefined criteria. Each phase must earn the right to spend the next budget tranche.</t>
  </si>
  <si>
    <t>Field-assist agent</t>
  </si>
  <si>
    <t>AI pre-fill tool</t>
  </si>
  <si>
    <t>Month 2 Gate</t>
  </si>
  <si>
    <t>A native AI agent that reads a supplier's product name + data sheet and pre-fills the 8 schema fields. Reduces form error rate from ~20–35% (unassisted) to &lt;10%.</t>
  </si>
  <si>
    <t>Kill/continue/scale decision</t>
  </si>
  <si>
    <t>≥ 20 orders/SKU (base sustained)</t>
  </si>
  <si>
    <t>$150K+/mo (base, full scale)</t>
  </si>
  <si>
    <t>FULL SCALE / KILL &lt; 15 → stop</t>
  </si>
  <si>
    <t>N/A</t>
  </si>
  <si>
    <t>All</t>
  </si>
  <si>
    <t>Base case holds at scale</t>
  </si>
  <si>
    <t>≥ 20 orders/SKU sustained</t>
  </si>
  <si>
    <t>$150K+/month</t>
  </si>
  <si>
    <t>Full build GO / scope v2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</si>
</sst>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quot;K&quot;"/>
  </numFmts>
  <fonts count="28">
    <font>
      <sz val="11.0"/>
      <color theme="1"/>
      <name val="Calibri"/>
      <scheme val="minor"/>
    </font>
    <font>
      <b/>
      <sz val="14.0"/>
      <color rgb="FF1A1A1A"/>
      <name val="Calibri"/>
    </font>
    <font>
      <i/>
      <sz val="9.0"/>
      <color rgb="FF666666"/>
      <name val="Calibri"/>
    </font>
    <font>
      <b/>
      <sz val="10.0"/>
      <color rgb="FF2B5A18"/>
      <name val="Calibri"/>
    </font>
    <font/>
    <font>
      <b/>
      <sz val="9.0"/>
      <color rgb="FF1A1A1A"/>
      <name val="Calibri"/>
    </font>
    <font>
      <sz val="9.0"/>
      <color rgb="FF1A1A1A"/>
      <name val="Calibri"/>
    </font>
    <font>
      <sz val="9.0"/>
      <color rgb="FF666666"/>
      <name val="Calibri"/>
    </font>
    <font>
      <b/>
      <sz val="9.0"/>
      <color rgb="FF1D6B0F"/>
      <name val="Calibri"/>
    </font>
    <font>
      <b/>
      <sz val="9.0"/>
      <color rgb="FF2B5A18"/>
      <name val="Calibri"/>
    </font>
    <font>
      <u/>
      <sz val="9.0"/>
      <color rgb="FF2B5A18"/>
      <name val="Calibri"/>
    </font>
    <font>
      <b/>
      <sz val="9.0"/>
      <color rgb="FF666666"/>
      <name val="Calibri"/>
    </font>
    <font>
      <i/>
      <sz val="9.0"/>
      <color rgb="FFB45309"/>
      <name val="Calibri"/>
    </font>
    <font>
      <u/>
      <sz val="9.0"/>
      <color rgb="FF2B5A18"/>
      <name val="Calibri"/>
    </font>
    <font>
      <sz val="9.0"/>
      <color rgb="FF1D6B0F"/>
      <name val="Calibri"/>
    </font>
    <font>
      <sz val="9.0"/>
      <color rgb="FFB45309"/>
      <name val="Calibri"/>
    </font>
    <font>
      <i/>
      <sz val="10.0"/>
      <color rgb="FF2B5A18"/>
      <name val="Calibri"/>
    </font>
    <font>
      <i/>
      <sz val="8.0"/>
      <color rgb="FF666666"/>
      <name val="Calibri"/>
    </font>
    <font>
      <color theme="1"/>
      <name val="Calibri"/>
      <scheme val="minor"/>
    </font>
    <font>
      <b/>
      <sz val="9.0"/>
      <color rgb="FF000000"/>
      <name val="'Helvetica Neue'"/>
    </font>
    <font>
      <b/>
      <sz val="7.0"/>
      <color rgb="FF000000"/>
      <name val="'Helvetica Neue'"/>
    </font>
    <font>
      <sz val="7.0"/>
      <color rgb="FF000000"/>
      <name val="'Helvetica Neue'"/>
    </font>
    <font>
      <b/>
      <sz val="9.0"/>
      <color rgb="FFB45309"/>
      <name val="Calibri"/>
    </font>
    <font>
      <u/>
      <sz val="9.0"/>
      <color rgb="FF2B5A18"/>
      <name val="Calibri"/>
    </font>
    <font>
      <u/>
      <sz val="9.0"/>
      <color rgb="FF2B5A18"/>
      <name val="Calibri"/>
    </font>
    <font>
      <b/>
      <i/>
      <sz val="9.0"/>
      <color rgb="FF666666"/>
      <name val="Calibri"/>
    </font>
    <font>
      <b/>
      <sz val="7.0"/>
      <color rgb="FF1A1A1A"/>
      <name val="Calibri"/>
    </font>
    <font>
      <sz val="11.0"/>
      <color theme="1"/>
      <name val="Calibri"/>
    </font>
  </fonts>
  <fills count="12">
    <fill>
      <patternFill patternType="none"/>
    </fill>
    <fill>
      <patternFill patternType="lightGray"/>
    </fill>
    <fill>
      <patternFill patternType="solid">
        <fgColor rgb="FFFFFFFF"/>
        <bgColor rgb="FFFFFFFF"/>
      </patternFill>
    </fill>
    <fill>
      <patternFill patternType="solid">
        <fgColor rgb="FFF8FAF6"/>
        <bgColor rgb="FFF8FAF6"/>
      </patternFill>
    </fill>
    <fill>
      <patternFill patternType="solid">
        <fgColor rgb="FFF4F4F4"/>
        <bgColor rgb="FFF4F4F4"/>
      </patternFill>
    </fill>
    <fill>
      <patternFill patternType="solid">
        <fgColor rgb="FFEBEBEB"/>
        <bgColor rgb="FFEBEBEB"/>
      </patternFill>
    </fill>
    <fill>
      <patternFill patternType="solid">
        <fgColor rgb="FFFEF3C7"/>
        <bgColor rgb="FFFEF3C7"/>
      </patternFill>
    </fill>
    <fill>
      <patternFill patternType="solid">
        <fgColor rgb="FFAAAAAA"/>
        <bgColor rgb="FFAAAAAA"/>
      </patternFill>
    </fill>
    <fill>
      <patternFill patternType="solid">
        <fgColor rgb="FF9A6B1A"/>
        <bgColor rgb="FF9A6B1A"/>
      </patternFill>
    </fill>
    <fill>
      <patternFill patternType="solid">
        <fgColor rgb="FF2C5280"/>
        <bgColor rgb="FF2C5280"/>
      </patternFill>
    </fill>
    <fill>
      <patternFill patternType="solid">
        <fgColor rgb="FFB45309"/>
        <bgColor rgb="FFB45309"/>
      </patternFill>
    </fill>
    <fill>
      <patternFill patternType="solid">
        <fgColor rgb="FF1D6B0F"/>
        <bgColor rgb="FF1D6B0F"/>
      </patternFill>
    </fill>
  </fills>
  <borders count="9">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1" fillId="2" fontId="3" numFmtId="0" xfId="0" applyAlignment="1" applyBorder="1" applyFill="1" applyFont="1">
      <alignment horizontal="left" vertical="center"/>
    </xf>
    <xf borderId="2" fillId="0" fontId="4" numFmtId="0" xfId="0" applyBorder="1" applyFont="1"/>
    <xf borderId="3" fillId="0" fontId="4" numFmtId="0" xfId="0" applyBorder="1" applyFont="1"/>
    <xf borderId="4" fillId="2" fontId="5" numFmtId="0" xfId="0" applyAlignment="1" applyBorder="1" applyFont="1">
      <alignment horizontal="center" shrinkToFit="0" vertical="center" wrapText="1"/>
    </xf>
    <xf borderId="5" fillId="3" fontId="6" numFmtId="0" xfId="0" applyAlignment="1" applyBorder="1" applyFill="1" applyFont="1">
      <alignment shrinkToFit="0" vertical="center" wrapText="1"/>
    </xf>
    <xf borderId="4" fillId="2" fontId="5" numFmtId="0" xfId="0" applyAlignment="1" applyBorder="1" applyFont="1">
      <alignment horizontal="left" shrinkToFit="0" vertical="center" wrapText="1"/>
    </xf>
    <xf borderId="6" fillId="0" fontId="4" numFmtId="0" xfId="0" applyBorder="1" applyFont="1"/>
    <xf borderId="4" fillId="2" fontId="6" numFmtId="0" xfId="0" applyAlignment="1" applyBorder="1" applyFont="1">
      <alignment horizontal="left" shrinkToFit="0" vertical="center" wrapText="1"/>
    </xf>
    <xf borderId="7" fillId="0" fontId="4" numFmtId="0" xfId="0" applyBorder="1" applyFont="1"/>
    <xf borderId="4" fillId="2" fontId="7" numFmtId="0" xfId="0" applyAlignment="1" applyBorder="1" applyFont="1">
      <alignment horizontal="center" shrinkToFit="0" vertical="center" wrapText="1"/>
    </xf>
    <xf borderId="4" fillId="4" fontId="5" numFmtId="0" xfId="0" applyAlignment="1" applyBorder="1" applyFill="1" applyFont="1">
      <alignment horizontal="left" shrinkToFit="0" vertical="center" wrapText="1"/>
    </xf>
    <xf borderId="4" fillId="2" fontId="7" numFmtId="0" xfId="0" applyAlignment="1" applyBorder="1" applyFont="1">
      <alignment horizontal="left" shrinkToFit="0" vertical="center" wrapText="1"/>
    </xf>
    <xf borderId="4" fillId="4" fontId="6" numFmtId="0" xfId="0" applyAlignment="1" applyBorder="1" applyFont="1">
      <alignment horizontal="left" shrinkToFit="0" vertical="center" wrapText="1"/>
    </xf>
    <xf borderId="4" fillId="4" fontId="7" numFmtId="0" xfId="0" applyAlignment="1" applyBorder="1" applyFont="1">
      <alignment horizontal="center" shrinkToFit="0" vertical="center" wrapText="1"/>
    </xf>
    <xf borderId="4" fillId="4" fontId="7" numFmtId="0" xfId="0" applyAlignment="1" applyBorder="1" applyFont="1">
      <alignment horizontal="left" shrinkToFit="0" vertical="center" wrapText="1"/>
    </xf>
    <xf borderId="4" fillId="5" fontId="8" numFmtId="0" xfId="0" applyAlignment="1" applyBorder="1" applyFill="1" applyFont="1">
      <alignment horizontal="left" shrinkToFit="0" vertical="center" wrapText="1"/>
    </xf>
    <xf borderId="4" fillId="4" fontId="9" numFmtId="0" xfId="0" applyAlignment="1" applyBorder="1" applyFont="1">
      <alignment horizontal="left" shrinkToFit="0" vertical="center" wrapText="1"/>
    </xf>
    <xf borderId="4" fillId="5" fontId="6" numFmtId="0" xfId="0" applyAlignment="1" applyBorder="1" applyFont="1">
      <alignment horizontal="left" shrinkToFit="0" vertical="center" wrapText="1"/>
    </xf>
    <xf borderId="4" fillId="4" fontId="10" numFmtId="0" xfId="0" applyAlignment="1" applyBorder="1" applyFont="1">
      <alignment shrinkToFit="0" vertical="center" wrapText="1"/>
    </xf>
    <xf borderId="4" fillId="5" fontId="8" numFmtId="0" xfId="0" applyAlignment="1" applyBorder="1" applyFont="1">
      <alignment horizontal="center" shrinkToFit="0" vertical="center" wrapText="1"/>
    </xf>
    <xf borderId="4" fillId="4" fontId="5" numFmtId="0" xfId="0" applyAlignment="1" applyBorder="1" applyFont="1">
      <alignment horizontal="center" shrinkToFit="0" vertical="center" wrapText="1"/>
    </xf>
    <xf borderId="4" fillId="5" fontId="7" numFmtId="0" xfId="0" applyAlignment="1" applyBorder="1" applyFont="1">
      <alignment horizontal="left" shrinkToFit="0" vertical="center" wrapText="1"/>
    </xf>
    <xf borderId="4" fillId="2" fontId="11" numFmtId="0" xfId="0" applyAlignment="1" applyBorder="1" applyFont="1">
      <alignment horizontal="left" shrinkToFit="0" vertical="center" wrapText="1"/>
    </xf>
    <xf borderId="4" fillId="4" fontId="12" numFmtId="0" xfId="0" applyAlignment="1" applyBorder="1" applyFont="1">
      <alignment horizontal="left" shrinkToFit="0" vertical="center" wrapText="1"/>
    </xf>
    <xf borderId="4" fillId="2" fontId="13" numFmtId="0" xfId="0" applyAlignment="1" applyBorder="1" applyFont="1">
      <alignment shrinkToFit="0" vertical="center" wrapText="1"/>
    </xf>
    <xf borderId="4" fillId="2" fontId="8" numFmtId="0" xfId="0" applyAlignment="1" applyBorder="1" applyFont="1">
      <alignment horizontal="center" shrinkToFit="0" vertical="center" wrapText="1"/>
    </xf>
    <xf borderId="4" fillId="4" fontId="2" numFmtId="0" xfId="0" applyAlignment="1" applyBorder="1" applyFont="1">
      <alignment horizontal="left" shrinkToFit="0" vertical="center" wrapText="1"/>
    </xf>
    <xf borderId="4" fillId="2" fontId="14" numFmtId="0" xfId="0" applyAlignment="1" applyBorder="1" applyFont="1">
      <alignment horizontal="center" shrinkToFit="0" vertical="center" wrapText="1"/>
    </xf>
    <xf borderId="4" fillId="4" fontId="11" numFmtId="0" xfId="0" applyAlignment="1" applyBorder="1" applyFont="1">
      <alignment horizontal="left" shrinkToFit="0" vertical="center" wrapText="1"/>
    </xf>
    <xf borderId="4" fillId="4" fontId="8" numFmtId="0" xfId="0" applyAlignment="1" applyBorder="1" applyFont="1">
      <alignment horizontal="center" shrinkToFit="0" vertical="center" wrapText="1"/>
    </xf>
    <xf borderId="4" fillId="2" fontId="9" numFmtId="0" xfId="0" applyAlignment="1" applyBorder="1" applyFont="1">
      <alignment horizontal="left" shrinkToFit="0" vertical="center" wrapText="1"/>
    </xf>
    <xf borderId="4" fillId="2" fontId="15" numFmtId="0" xfId="0" applyAlignment="1" applyBorder="1" applyFont="1">
      <alignment horizontal="left" shrinkToFit="0" vertical="center" wrapText="1"/>
    </xf>
    <xf borderId="4" fillId="2" fontId="12" numFmtId="0" xfId="0" applyAlignment="1" applyBorder="1" applyFont="1">
      <alignment horizontal="left" shrinkToFit="0" vertical="center" wrapText="1"/>
    </xf>
    <xf borderId="4" fillId="2" fontId="5" numFmtId="0" xfId="0" applyAlignment="1" applyBorder="1" applyFont="1">
      <alignment horizontal="right" shrinkToFit="0" vertical="center" wrapText="1"/>
    </xf>
    <xf borderId="4" fillId="2" fontId="2" numFmtId="0" xfId="0" applyAlignment="1" applyBorder="1" applyFont="1">
      <alignment horizontal="left" shrinkToFit="0" vertical="center" wrapText="1"/>
    </xf>
    <xf borderId="4" fillId="4" fontId="5" numFmtId="0" xfId="0" applyAlignment="1" applyBorder="1" applyFont="1">
      <alignment horizontal="right" shrinkToFit="0" vertical="center" wrapText="1"/>
    </xf>
    <xf borderId="4" fillId="5" fontId="8" numFmtId="0" xfId="0" applyAlignment="1" applyBorder="1" applyFont="1">
      <alignment horizontal="right" shrinkToFit="0" vertical="center" wrapText="1"/>
    </xf>
    <xf borderId="4" fillId="5" fontId="7" numFmtId="0" xfId="0" applyAlignment="1" applyBorder="1" applyFont="1">
      <alignment horizontal="center" shrinkToFit="0" vertical="center" wrapText="1"/>
    </xf>
    <xf borderId="5" fillId="4" fontId="16" numFmtId="0" xfId="0" applyAlignment="1" applyBorder="1" applyFont="1">
      <alignment shrinkToFit="0" vertical="center" wrapText="1"/>
    </xf>
    <xf borderId="4" fillId="2" fontId="8" numFmtId="0" xfId="0" applyAlignment="1" applyBorder="1" applyFont="1">
      <alignment horizontal="right" shrinkToFit="0" vertical="center" wrapText="1"/>
    </xf>
    <xf borderId="4" fillId="4" fontId="15" numFmtId="0" xfId="0" applyAlignment="1" applyBorder="1" applyFont="1">
      <alignment horizontal="left" shrinkToFit="0" vertical="center" wrapText="1"/>
    </xf>
    <xf borderId="4" fillId="4" fontId="8" numFmtId="0" xfId="0" applyAlignment="1" applyBorder="1" applyFont="1">
      <alignment horizontal="right" shrinkToFit="0" vertical="center" wrapText="1"/>
    </xf>
    <xf borderId="5" fillId="4" fontId="2" numFmtId="0" xfId="0" applyAlignment="1" applyBorder="1" applyFont="1">
      <alignment shrinkToFit="0" vertical="center" wrapText="1"/>
    </xf>
    <xf borderId="4" fillId="4" fontId="14" numFmtId="0" xfId="0" applyAlignment="1" applyBorder="1" applyFont="1">
      <alignment horizontal="center" shrinkToFit="0" vertical="center" wrapText="1"/>
    </xf>
    <xf borderId="4" fillId="6" fontId="15" numFmtId="0" xfId="0" applyAlignment="1" applyBorder="1" applyFill="1" applyFont="1">
      <alignment horizontal="left" shrinkToFit="0" vertical="center" wrapText="1"/>
    </xf>
    <xf borderId="5" fillId="2" fontId="2" numFmtId="0" xfId="0" applyAlignment="1" applyBorder="1" applyFont="1">
      <alignment shrinkToFit="0" vertical="center" wrapText="1"/>
    </xf>
    <xf borderId="0" fillId="0" fontId="17" numFmtId="0" xfId="0" applyAlignment="1" applyFont="1">
      <alignment shrinkToFit="0" vertical="center" wrapText="1"/>
    </xf>
    <xf borderId="0" fillId="0" fontId="18" numFmtId="0" xfId="0" applyFont="1"/>
    <xf borderId="4" fillId="2" fontId="8" numFmtId="0" xfId="0" applyAlignment="1" applyBorder="1" applyFont="1">
      <alignment horizontal="left" shrinkToFit="0" vertical="center" wrapText="1"/>
    </xf>
    <xf borderId="4" fillId="4" fontId="8" numFmtId="0" xfId="0" applyAlignment="1" applyBorder="1" applyFont="1">
      <alignment horizontal="left" shrinkToFit="0" vertical="center" wrapText="1"/>
    </xf>
    <xf borderId="4" fillId="4" fontId="14" numFmtId="0" xfId="0" applyAlignment="1" applyBorder="1" applyFont="1">
      <alignment horizontal="left" shrinkToFit="0" vertical="center" wrapText="1"/>
    </xf>
    <xf borderId="5" fillId="3" fontId="6" numFmtId="0" xfId="0" applyAlignment="1" applyBorder="1" applyFont="1">
      <alignment shrinkToFit="0" vertical="top" wrapText="1"/>
    </xf>
    <xf borderId="4" fillId="2" fontId="14" numFmtId="0" xfId="0" applyAlignment="1" applyBorder="1" applyFont="1">
      <alignment horizontal="left" shrinkToFit="0" vertical="center" wrapText="1"/>
    </xf>
    <xf borderId="4" fillId="6" fontId="5" numFmtId="0" xfId="0" applyAlignment="1" applyBorder="1" applyFont="1">
      <alignment horizontal="left" shrinkToFit="0" vertical="center" wrapText="1"/>
    </xf>
    <xf borderId="4" fillId="6" fontId="6" numFmtId="0" xfId="0" applyAlignment="1" applyBorder="1" applyFont="1">
      <alignment horizontal="left" shrinkToFit="0" vertical="center" wrapText="1"/>
    </xf>
    <xf borderId="4" fillId="6" fontId="14" numFmtId="0" xfId="0" applyAlignment="1" applyBorder="1" applyFont="1">
      <alignment horizontal="left" shrinkToFit="0" vertical="center" wrapText="1"/>
    </xf>
    <xf borderId="0" fillId="0" fontId="19" numFmtId="0" xfId="0" applyAlignment="1" applyFont="1">
      <alignment horizontal="left" readingOrder="0" shrinkToFit="0" wrapText="1"/>
    </xf>
    <xf borderId="0" fillId="0" fontId="20" numFmtId="0" xfId="0" applyAlignment="1" applyFont="1">
      <alignment horizontal="left" readingOrder="0" shrinkToFit="0" wrapText="1"/>
    </xf>
    <xf borderId="0" fillId="0" fontId="21" numFmtId="0" xfId="0" applyAlignment="1" applyFont="1">
      <alignment horizontal="left" readingOrder="0" shrinkToFit="0" wrapText="1"/>
    </xf>
    <xf borderId="4" fillId="6" fontId="22" numFmtId="0" xfId="0" applyAlignment="1" applyBorder="1" applyFont="1">
      <alignment horizontal="left" shrinkToFit="0" vertical="center" wrapText="1"/>
    </xf>
    <xf borderId="4" fillId="6" fontId="15" numFmtId="0" xfId="0" applyAlignment="1" applyBorder="1" applyFont="1">
      <alignment horizontal="center" shrinkToFit="0" vertical="center" wrapText="1"/>
    </xf>
    <xf borderId="4" fillId="6" fontId="15" numFmtId="164" xfId="0" applyAlignment="1" applyBorder="1" applyFont="1" applyNumberFormat="1">
      <alignment horizontal="right" shrinkToFit="0" vertical="center" wrapText="1"/>
    </xf>
    <xf borderId="4" fillId="6" fontId="2" numFmtId="0" xfId="0" applyAlignment="1" applyBorder="1" applyFont="1">
      <alignment horizontal="left" shrinkToFit="0" vertical="center" wrapText="1"/>
    </xf>
    <xf borderId="4" fillId="2" fontId="6" numFmtId="0" xfId="0" applyAlignment="1" applyBorder="1" applyFont="1">
      <alignment horizontal="center" shrinkToFit="0" vertical="center" wrapText="1"/>
    </xf>
    <xf borderId="4" fillId="2" fontId="6" numFmtId="164" xfId="0" applyAlignment="1" applyBorder="1" applyFont="1" applyNumberFormat="1">
      <alignment horizontal="right" shrinkToFit="0" vertical="center" wrapText="1"/>
    </xf>
    <xf borderId="4" fillId="4" fontId="14" numFmtId="164" xfId="0" applyAlignment="1" applyBorder="1" applyFont="1" applyNumberFormat="1">
      <alignment horizontal="right" shrinkToFit="0" vertical="center" wrapText="1"/>
    </xf>
    <xf borderId="4" fillId="4" fontId="6" numFmtId="165" xfId="0" applyAlignment="1" applyBorder="1" applyFont="1" applyNumberFormat="1">
      <alignment horizontal="left" shrinkToFit="0" vertical="center" wrapText="1"/>
    </xf>
    <xf borderId="4" fillId="4" fontId="14" numFmtId="165" xfId="0" applyAlignment="1" applyBorder="1" applyFont="1" applyNumberFormat="1">
      <alignment horizontal="left" shrinkToFit="0" vertical="center" wrapText="1"/>
    </xf>
    <xf borderId="4" fillId="4" fontId="15" numFmtId="165" xfId="0" applyAlignment="1" applyBorder="1" applyFont="1" applyNumberFormat="1">
      <alignment horizontal="left" shrinkToFit="0" vertical="center" wrapText="1"/>
    </xf>
    <xf borderId="4" fillId="2" fontId="6" numFmtId="165" xfId="0" applyAlignment="1" applyBorder="1" applyFont="1" applyNumberFormat="1">
      <alignment horizontal="left" shrinkToFit="0" vertical="center" wrapText="1"/>
    </xf>
    <xf borderId="4" fillId="2" fontId="14" numFmtId="165" xfId="0" applyAlignment="1" applyBorder="1" applyFont="1" applyNumberFormat="1">
      <alignment horizontal="left" shrinkToFit="0" vertical="center" wrapText="1"/>
    </xf>
    <xf borderId="4" fillId="2" fontId="15" numFmtId="165" xfId="0" applyAlignment="1" applyBorder="1" applyFont="1" applyNumberFormat="1">
      <alignment horizontal="left" shrinkToFit="0" vertical="center" wrapText="1"/>
    </xf>
    <xf borderId="4" fillId="6" fontId="6" numFmtId="165" xfId="0" applyAlignment="1" applyBorder="1" applyFont="1" applyNumberFormat="1">
      <alignment horizontal="left" shrinkToFit="0" vertical="center" wrapText="1"/>
    </xf>
    <xf borderId="4" fillId="6" fontId="14" numFmtId="165" xfId="0" applyAlignment="1" applyBorder="1" applyFont="1" applyNumberFormat="1">
      <alignment horizontal="left" shrinkToFit="0" vertical="center" wrapText="1"/>
    </xf>
    <xf borderId="4" fillId="6" fontId="15" numFmtId="165" xfId="0" applyAlignment="1" applyBorder="1" applyFont="1" applyNumberFormat="1">
      <alignment horizontal="left" shrinkToFit="0" vertical="center" wrapText="1"/>
    </xf>
    <xf borderId="4" fillId="4" fontId="15" numFmtId="165" xfId="0" applyAlignment="1" applyBorder="1" applyFont="1" applyNumberFormat="1">
      <alignment horizontal="right" shrinkToFit="0" vertical="center" wrapText="1"/>
    </xf>
    <xf borderId="4" fillId="4" fontId="6" numFmtId="165" xfId="0" applyAlignment="1" applyBorder="1" applyFont="1" applyNumberFormat="1">
      <alignment horizontal="right" shrinkToFit="0" vertical="center" wrapText="1"/>
    </xf>
    <xf borderId="4" fillId="4" fontId="14" numFmtId="165" xfId="0" applyAlignment="1" applyBorder="1" applyFont="1" applyNumberFormat="1">
      <alignment horizontal="right" shrinkToFit="0" vertical="center" wrapText="1"/>
    </xf>
    <xf borderId="4" fillId="6" fontId="15" numFmtId="165" xfId="0" applyAlignment="1" applyBorder="1" applyFont="1" applyNumberFormat="1">
      <alignment horizontal="right" shrinkToFit="0" vertical="center" wrapText="1"/>
    </xf>
    <xf borderId="4" fillId="5" fontId="14" numFmtId="165" xfId="0" applyAlignment="1" applyBorder="1" applyFont="1" applyNumberFormat="1">
      <alignment horizontal="right" shrinkToFit="0" vertical="center" wrapText="1"/>
    </xf>
    <xf borderId="4" fillId="2" fontId="15" numFmtId="165" xfId="0" applyAlignment="1" applyBorder="1" applyFont="1" applyNumberFormat="1">
      <alignment horizontal="right" shrinkToFit="0" vertical="center" wrapText="1"/>
    </xf>
    <xf borderId="4" fillId="2" fontId="6" numFmtId="165" xfId="0" applyAlignment="1" applyBorder="1" applyFont="1" applyNumberFormat="1">
      <alignment horizontal="right" shrinkToFit="0" vertical="center" wrapText="1"/>
    </xf>
    <xf borderId="4" fillId="2" fontId="14" numFmtId="165" xfId="0" applyAlignment="1" applyBorder="1" applyFont="1" applyNumberFormat="1">
      <alignment horizontal="right" shrinkToFit="0" vertical="center" wrapText="1"/>
    </xf>
    <xf borderId="4" fillId="4" fontId="15" numFmtId="0" xfId="0" applyAlignment="1" applyBorder="1" applyFont="1">
      <alignment horizontal="center" shrinkToFit="0" vertical="center" wrapText="1"/>
    </xf>
    <xf borderId="4" fillId="2" fontId="15" numFmtId="0" xfId="0" applyAlignment="1" applyBorder="1" applyFont="1">
      <alignment horizontal="center" shrinkToFit="0" vertical="center" wrapText="1"/>
    </xf>
    <xf borderId="4" fillId="6" fontId="14" numFmtId="0" xfId="0" applyAlignment="1" applyBorder="1" applyFont="1">
      <alignment horizontal="center" shrinkToFit="0" vertical="center" wrapText="1"/>
    </xf>
    <xf borderId="4" fillId="6" fontId="7" numFmtId="0" xfId="0" applyAlignment="1" applyBorder="1" applyFont="1">
      <alignment horizontal="center" shrinkToFit="0" vertical="center" wrapText="1"/>
    </xf>
    <xf borderId="5" fillId="4" fontId="23" numFmtId="0" xfId="0" applyAlignment="1" applyBorder="1" applyFont="1">
      <alignment shrinkToFit="0" vertical="center" wrapText="1"/>
    </xf>
    <xf borderId="5" fillId="2" fontId="24" numFmtId="0" xfId="0" applyAlignment="1" applyBorder="1" applyFont="1">
      <alignment shrinkToFit="0" vertical="center" wrapText="1"/>
    </xf>
    <xf borderId="4" fillId="4" fontId="6" numFmtId="0" xfId="0" applyAlignment="1" applyBorder="1" applyFont="1">
      <alignment horizontal="center" shrinkToFit="0" vertical="center" wrapText="1"/>
    </xf>
    <xf borderId="4" fillId="4" fontId="25" numFmtId="0" xfId="0" applyAlignment="1" applyBorder="1" applyFont="1">
      <alignment horizontal="left" shrinkToFit="0" vertical="center" wrapText="1"/>
    </xf>
    <xf borderId="8" fillId="2" fontId="5" numFmtId="0" xfId="0" applyAlignment="1" applyBorder="1" applyFont="1">
      <alignment horizontal="center" vertical="center"/>
    </xf>
    <xf borderId="4" fillId="2" fontId="25" numFmtId="0" xfId="0" applyAlignment="1" applyBorder="1" applyFont="1">
      <alignment horizontal="left" shrinkToFit="0" vertical="center" wrapText="1"/>
    </xf>
    <xf borderId="8" fillId="2" fontId="26" numFmtId="0" xfId="0" applyAlignment="1" applyBorder="1" applyFont="1">
      <alignment horizontal="center" vertical="center"/>
    </xf>
    <xf borderId="0" fillId="0" fontId="5" numFmtId="0" xfId="0" applyAlignment="1" applyFont="1">
      <alignment vertical="center"/>
    </xf>
    <xf borderId="8" fillId="7" fontId="27" numFmtId="0" xfId="0" applyBorder="1" applyFill="1" applyFont="1"/>
    <xf borderId="8" fillId="8" fontId="27" numFmtId="0" xfId="0" applyBorder="1" applyFill="1" applyFont="1"/>
    <xf borderId="8" fillId="9" fontId="27" numFmtId="0" xfId="0" applyBorder="1" applyFill="1" applyFont="1"/>
    <xf borderId="8" fillId="10" fontId="27" numFmtId="0" xfId="0" applyBorder="1" applyFill="1" applyFont="1"/>
    <xf borderId="8" fillId="11" fontId="27" numFmtId="0" xfId="0" applyBorder="1" applyFill="1" applyFont="1"/>
    <xf borderId="4" fillId="4" fontId="2" numFmtId="0" xfId="0" applyAlignment="1" applyBorder="1" applyFont="1">
      <alignment horizontal="center" shrinkToFit="0" vertical="center" wrapText="1"/>
    </xf>
    <xf borderId="4" fillId="2" fontId="2" numFmtId="0" xfId="0" applyAlignment="1" applyBorder="1" applyFont="1">
      <alignment horizontal="center" shrinkToFit="0" vertical="center" wrapText="1"/>
    </xf>
    <xf borderId="4" fillId="4"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Platform Margin Potential by Horizon ($M/yr)  ·  Base case 20 orders/SKU</a:t>
            </a:r>
          </a:p>
        </c:rich>
      </c:tx>
      <c:overlay val="0"/>
    </c:title>
    <c:plotArea>
      <c:layout/>
      <c:barChart>
        <c:barDir val="bar"/>
        <c:ser>
          <c:idx val="0"/>
          <c:order val="0"/>
          <c:tx>
            <c:strRef>
              <c:f>'Market Sizing (TAM·SAM·SOM)'!$B$33</c:f>
            </c:strRef>
          </c:tx>
          <c:spPr>
            <a:solidFill>
              <a:srgbClr val="2B5A18"/>
            </a:solidFill>
            <a:ln cmpd="sng">
              <a:noFill/>
            </a:ln>
          </c:spPr>
          <c:cat>
            <c:strRef>
              <c:f>'Market Sizing (TAM·SAM·SOM)'!$A$34:$A$37</c:f>
            </c:strRef>
          </c:cat>
          <c:val>
            <c:numRef>
              <c:f>'Market Sizing (TAM·SAM·SOM)'!$B$34:$B$37</c:f>
              <c:numCache/>
            </c:numRef>
          </c:val>
        </c:ser>
        <c:axId val="2116259083"/>
        <c:axId val="1311644593"/>
      </c:barChart>
      <c:catAx>
        <c:axId val="21162590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11644593"/>
      </c:catAx>
      <c:valAx>
        <c:axId val="1311644593"/>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Platform margin ($M/yr)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6259083"/>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Revenue Scenarios — Monthly &amp; Annual ($K)</a:t>
            </a:r>
          </a:p>
        </c:rich>
      </c:tx>
      <c:overlay val="0"/>
    </c:title>
    <c:plotArea>
      <c:layout/>
      <c:barChart>
        <c:barDir val="col"/>
        <c:ser>
          <c:idx val="0"/>
          <c:order val="0"/>
          <c:tx>
            <c:strRef>
              <c:f>'OKRs &amp; KPIs'!$B$35</c:f>
            </c:strRef>
          </c:tx>
          <c:spPr>
            <a:solidFill>
              <a:srgbClr val="B45309"/>
            </a:solidFill>
            <a:ln cmpd="sng">
              <a:noFill/>
            </a:ln>
          </c:spPr>
          <c:cat>
            <c:strRef>
              <c:f>'OKRs &amp; KPIs'!$A$36:$A$38</c:f>
            </c:strRef>
          </c:cat>
          <c:val>
            <c:numRef>
              <c:f>'OKRs &amp; KPIs'!$B$36:$B$38</c:f>
              <c:numCache/>
            </c:numRef>
          </c:val>
        </c:ser>
        <c:ser>
          <c:idx val="1"/>
          <c:order val="1"/>
          <c:tx>
            <c:strRef>
              <c:f>'OKRs &amp; KPIs'!$C$35</c:f>
            </c:strRef>
          </c:tx>
          <c:spPr>
            <a:solidFill>
              <a:srgbClr val="2B5A18"/>
            </a:solidFill>
            <a:ln cmpd="sng">
              <a:noFill/>
            </a:ln>
          </c:spPr>
          <c:cat>
            <c:strRef>
              <c:f>'OKRs &amp; KPIs'!$A$36:$A$38</c:f>
            </c:strRef>
          </c:cat>
          <c:val>
            <c:numRef>
              <c:f>'OKRs &amp; KPIs'!$C$36:$C$38</c:f>
              <c:numCache/>
            </c:numRef>
          </c:val>
        </c:ser>
        <c:axId val="1682868530"/>
        <c:axId val="339419794"/>
      </c:barChart>
      <c:catAx>
        <c:axId val="1682868530"/>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Scenario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9419794"/>
      </c:catAx>
      <c:valAx>
        <c:axId val="33941979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$K</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286853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Demand Signal Trajectory · Orders/SKU/month · ◆ = Month 2 kill gate (&lt;15)</a:t>
            </a:r>
          </a:p>
        </c:rich>
      </c:tx>
      <c:overlay val="0"/>
    </c:title>
    <c:plotArea>
      <c:layout/>
      <c:lineChart>
        <c:ser>
          <c:idx val="0"/>
          <c:order val="0"/>
          <c:tx>
            <c:strRef>
              <c:f>'Proxy Data &amp; Metrics'!$B$32</c:f>
            </c:strRef>
          </c:tx>
          <c:spPr>
            <a:ln cmpd="sng">
              <a:solidFill>
                <a:srgbClr val="B45309"/>
              </a:solidFill>
            </a:ln>
          </c:spPr>
          <c:marker>
            <c:symbol val="none"/>
          </c:marker>
          <c:cat>
            <c:strRef>
              <c:f>'Proxy Data &amp; Metrics'!$A$33:$A$36</c:f>
            </c:strRef>
          </c:cat>
          <c:val>
            <c:numRef>
              <c:f>'Proxy Data &amp; Metrics'!$B$33:$B$36</c:f>
              <c:numCache/>
            </c:numRef>
          </c:val>
          <c:smooth val="0"/>
        </c:ser>
        <c:ser>
          <c:idx val="1"/>
          <c:order val="1"/>
          <c:tx>
            <c:strRef>
              <c:f>'Proxy Data &amp; Metrics'!$C$32</c:f>
            </c:strRef>
          </c:tx>
          <c:spPr>
            <a:ln cmpd="sng">
              <a:solidFill>
                <a:srgbClr val="2B5A18"/>
              </a:solidFill>
            </a:ln>
          </c:spPr>
          <c:marker>
            <c:symbol val="none"/>
          </c:marker>
          <c:cat>
            <c:strRef>
              <c:f>'Proxy Data &amp; Metrics'!$A$33:$A$36</c:f>
            </c:strRef>
          </c:cat>
          <c:val>
            <c:numRef>
              <c:f>'Proxy Data &amp; Metrics'!$C$33:$C$36</c:f>
              <c:numCache/>
            </c:numRef>
          </c:val>
          <c:smooth val="0"/>
        </c:ser>
        <c:ser>
          <c:idx val="2"/>
          <c:order val="2"/>
          <c:tx>
            <c:strRef>
              <c:f>'Proxy Data &amp; Metrics'!$D$32</c:f>
            </c:strRef>
          </c:tx>
          <c:spPr>
            <a:ln cmpd="sng">
              <a:solidFill>
                <a:srgbClr val="1D6B0F"/>
              </a:solidFill>
            </a:ln>
          </c:spPr>
          <c:marker>
            <c:symbol val="none"/>
          </c:marker>
          <c:cat>
            <c:strRef>
              <c:f>'Proxy Data &amp; Metrics'!$A$33:$A$36</c:f>
            </c:strRef>
          </c:cat>
          <c:val>
            <c:numRef>
              <c:f>'Proxy Data &amp; Metrics'!$D$33:$D$36</c:f>
              <c:numCache/>
            </c:numRef>
          </c:val>
          <c:smooth val="0"/>
        </c:ser>
        <c:axId val="1939807220"/>
        <c:axId val="1563537012"/>
      </c:lineChart>
      <c:catAx>
        <c:axId val="1939807220"/>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Timepoint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63537012"/>
      </c:catAx>
      <c:valAx>
        <c:axId val="156353701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Orders / SKU / month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980722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Monthly Margin vs Annual÷12 ($K) — 3 Scenarios · $340K investment line at 340K/12≈$28K</a:t>
            </a:r>
          </a:p>
        </c:rich>
      </c:tx>
      <c:overlay val="0"/>
    </c:title>
    <c:plotArea>
      <c:layout/>
      <c:barChart>
        <c:barDir val="col"/>
        <c:ser>
          <c:idx val="0"/>
          <c:order val="0"/>
          <c:tx>
            <c:strRef>
              <c:f>'Business Case'!$B$42</c:f>
            </c:strRef>
          </c:tx>
          <c:spPr>
            <a:solidFill>
              <a:schemeClr val="accent1"/>
            </a:solidFill>
            <a:ln cmpd="sng">
              <a:noFill/>
            </a:ln>
          </c:spPr>
          <c:cat>
            <c:strRef>
              <c:f>'Business Case'!$A$43:$A$45</c:f>
            </c:strRef>
          </c:cat>
          <c:val>
            <c:numRef>
              <c:f>'Business Case'!$B$43:$B$45</c:f>
              <c:numCache/>
            </c:numRef>
          </c:val>
        </c:ser>
        <c:ser>
          <c:idx val="1"/>
          <c:order val="1"/>
          <c:tx>
            <c:strRef>
              <c:f>'Business Case'!$C$42</c:f>
            </c:strRef>
          </c:tx>
          <c:spPr>
            <a:solidFill>
              <a:schemeClr val="accent2"/>
            </a:solidFill>
            <a:ln cmpd="sng">
              <a:noFill/>
            </a:ln>
          </c:spPr>
          <c:cat>
            <c:strRef>
              <c:f>'Business Case'!$A$43:$A$45</c:f>
            </c:strRef>
          </c:cat>
          <c:val>
            <c:numRef>
              <c:f>'Business Case'!$C$43:$C$45</c:f>
              <c:numCache/>
            </c:numRef>
          </c:val>
        </c:ser>
        <c:axId val="1025682450"/>
        <c:axId val="1679199695"/>
      </c:barChart>
      <c:catAx>
        <c:axId val="10256824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79199695"/>
      </c:catAx>
      <c:valAx>
        <c:axId val="1679199695"/>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$K / month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568245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Monthly Revenue Trajectory ($K) — 150 SKU Pilot → 1,500 SKU Scale</a:t>
            </a:r>
          </a:p>
        </c:rich>
      </c:tx>
      <c:overlay val="0"/>
    </c:title>
    <c:plotArea>
      <c:layout/>
      <c:barChart>
        <c:barDir val="col"/>
        <c:ser>
          <c:idx val="0"/>
          <c:order val="0"/>
          <c:tx>
            <c:strRef>
              <c:f>'Business Case'!$B$73</c:f>
            </c:strRef>
          </c:tx>
          <c:cat>
            <c:strRef>
              <c:f>'Business Case'!$A$74:$A$78</c:f>
            </c:strRef>
          </c:cat>
          <c:val>
            <c:numRef>
              <c:f>'Business Case'!$B$74:$B$78</c:f>
              <c:numCache/>
            </c:numRef>
          </c:val>
        </c:ser>
        <c:ser>
          <c:idx val="1"/>
          <c:order val="1"/>
          <c:tx>
            <c:strRef>
              <c:f>'Business Case'!$C$73</c:f>
            </c:strRef>
          </c:tx>
          <c:cat>
            <c:strRef>
              <c:f>'Business Case'!$A$74:$A$78</c:f>
            </c:strRef>
          </c:cat>
          <c:val>
            <c:numRef>
              <c:f>'Business Case'!$C$74:$C$78</c:f>
              <c:numCache/>
            </c:numRef>
          </c:val>
        </c:ser>
        <c:ser>
          <c:idx val="2"/>
          <c:order val="2"/>
          <c:tx>
            <c:strRef>
              <c:f>'Business Case'!$D$73</c:f>
            </c:strRef>
          </c:tx>
          <c:cat>
            <c:strRef>
              <c:f>'Business Case'!$A$74:$A$78</c:f>
            </c:strRef>
          </c:cat>
          <c:val>
            <c:numRef>
              <c:f>'Business Case'!$D$74:$D$78</c:f>
              <c:numCache/>
            </c:numRef>
          </c:val>
        </c:ser>
        <c:axId val="634210377"/>
        <c:axId val="115405577"/>
      </c:barChart>
      <c:catAx>
        <c:axId val="634210377"/>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Month (post-launch)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5405577"/>
      </c:catAx>
      <c:valAx>
        <c:axId val="115405577"/>
        <c:scaling>
          <c:orientation val="minMax"/>
        </c:scaling>
        <c:delete val="0"/>
        <c:axPos val="l"/>
        <c:tickLblPos val="nextTo"/>
        <c:spPr>
          <a:ln>
            <a:noFill/>
          </a:ln>
        </c:spPr>
        <c:crossAx val="63421037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Investment Phasing — Phase Cost &amp; Cumulative ($K)</a:t>
            </a:r>
          </a:p>
        </c:rich>
      </c:tx>
      <c:overlay val="0"/>
    </c:title>
    <c:plotArea>
      <c:layout/>
      <c:barChart>
        <c:barDir val="col"/>
        <c:ser>
          <c:idx val="0"/>
          <c:order val="0"/>
          <c:tx>
            <c:strRef>
              <c:f>Roadmap!$B$21</c:f>
            </c:strRef>
          </c:tx>
          <c:spPr>
            <a:solidFill>
              <a:schemeClr val="accent1"/>
            </a:solidFill>
            <a:ln cmpd="sng">
              <a:noFill/>
            </a:ln>
          </c:spPr>
          <c:cat>
            <c:strRef>
              <c:f>Roadmap!$A$22:$A$26</c:f>
            </c:strRef>
          </c:cat>
          <c:val>
            <c:numRef>
              <c:f>Roadmap!$B$22:$B$26</c:f>
              <c:numCache/>
            </c:numRef>
          </c:val>
        </c:ser>
        <c:ser>
          <c:idx val="1"/>
          <c:order val="1"/>
          <c:tx>
            <c:strRef>
              <c:f>Roadmap!$C$21</c:f>
            </c:strRef>
          </c:tx>
          <c:spPr>
            <a:solidFill>
              <a:schemeClr val="accent2"/>
            </a:solidFill>
            <a:ln cmpd="sng">
              <a:noFill/>
            </a:ln>
          </c:spPr>
          <c:cat>
            <c:strRef>
              <c:f>Roadmap!$A$22:$A$26</c:f>
            </c:strRef>
          </c:cat>
          <c:val>
            <c:numRef>
              <c:f>Roadmap!$C$22:$C$26</c:f>
              <c:numCache/>
            </c:numRef>
          </c:val>
        </c:ser>
        <c:axId val="941882861"/>
        <c:axId val="28533549"/>
      </c:barChart>
      <c:catAx>
        <c:axId val="941882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533549"/>
      </c:catAx>
      <c:valAx>
        <c:axId val="28533549"/>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$K</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188286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133350</xdr:colOff>
      <xdr:row>19</xdr:row>
      <xdr:rowOff>180975</xdr:rowOff>
    </xdr:from>
    <xdr:ext cx="5753100" cy="35909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39</xdr:row>
      <xdr:rowOff>0</xdr:rowOff>
    </xdr:from>
    <xdr:ext cx="6477000" cy="395287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xdr:row>
      <xdr:rowOff>0</xdr:rowOff>
    </xdr:from>
    <xdr:ext cx="7191375" cy="395287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46</xdr:row>
      <xdr:rowOff>0</xdr:rowOff>
    </xdr:from>
    <xdr:ext cx="7191375" cy="3952875"/>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79</xdr:row>
      <xdr:rowOff>0</xdr:rowOff>
    </xdr:from>
    <xdr:ext cx="7915275" cy="4676775"/>
    <xdr:graphicFrame>
      <xdr:nvGraphicFramePr>
        <xdr:cNvPr id="5" name="Chart 5"/>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0</xdr:rowOff>
    </xdr:from>
    <xdr:ext cx="7191375" cy="3952875"/>
    <xdr:graphicFrame>
      <xdr:nvGraphicFramePr>
        <xdr:cNvPr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38.0"/>
    <col customWidth="1" min="3" max="3" width="22.0"/>
    <col customWidth="1" min="4" max="4" width="5.0"/>
    <col customWidth="1" min="5" max="5" width="30.0"/>
    <col customWidth="1" min="6" max="6" width="5.0"/>
    <col customWidth="1" min="7" max="7" width="18.0"/>
    <col customWidth="1" min="8" max="26" width="8.71"/>
  </cols>
  <sheetData>
    <row r="1" ht="30.0" customHeight="1">
      <c r="A1" s="1" t="s">
        <v>0</v>
      </c>
    </row>
    <row r="2" ht="15.75" customHeight="1">
      <c r="A2" s="2" t="s">
        <v>2</v>
      </c>
    </row>
    <row r="3" ht="4.5" customHeight="1"/>
    <row r="4" ht="15.75" customHeight="1">
      <c r="A4" s="3" t="s">
        <v>4</v>
      </c>
      <c r="B4" s="4"/>
      <c r="C4" s="4"/>
      <c r="D4" s="4"/>
      <c r="E4" s="4"/>
      <c r="F4" s="4"/>
      <c r="G4" s="5"/>
    </row>
    <row r="5" ht="27.75" customHeight="1">
      <c r="A5" s="6" t="s">
        <v>5</v>
      </c>
      <c r="B5" s="6" t="s">
        <v>8</v>
      </c>
      <c r="C5" s="6" t="s">
        <v>9</v>
      </c>
      <c r="D5" s="6" t="s">
        <v>10</v>
      </c>
      <c r="E5" s="6" t="s">
        <v>11</v>
      </c>
      <c r="F5" s="6" t="s">
        <v>12</v>
      </c>
    </row>
    <row r="6" ht="43.5" customHeight="1">
      <c r="A6" s="8" t="s">
        <v>13</v>
      </c>
      <c r="B6" s="10" t="s">
        <v>15</v>
      </c>
      <c r="C6" s="12" t="s">
        <v>18</v>
      </c>
      <c r="D6" s="12" t="s">
        <v>23</v>
      </c>
      <c r="E6" s="14" t="s">
        <v>25</v>
      </c>
      <c r="F6" s="12" t="s">
        <v>27</v>
      </c>
    </row>
    <row r="7" ht="43.5" customHeight="1">
      <c r="A7" s="13" t="s">
        <v>28</v>
      </c>
      <c r="B7" s="15" t="s">
        <v>30</v>
      </c>
      <c r="C7" s="16" t="s">
        <v>31</v>
      </c>
      <c r="D7" s="16" t="s">
        <v>33</v>
      </c>
      <c r="E7" s="17" t="s">
        <v>36</v>
      </c>
      <c r="F7" s="16" t="s">
        <v>39</v>
      </c>
    </row>
    <row r="8" ht="43.5" customHeight="1">
      <c r="A8" s="18" t="s">
        <v>43</v>
      </c>
      <c r="B8" s="20" t="s">
        <v>45</v>
      </c>
      <c r="C8" s="22" t="s">
        <v>47</v>
      </c>
      <c r="D8" s="22" t="s">
        <v>49</v>
      </c>
      <c r="E8" s="24" t="s">
        <v>51</v>
      </c>
      <c r="F8" s="22" t="s">
        <v>54</v>
      </c>
    </row>
    <row r="9" ht="43.5" customHeight="1">
      <c r="A9" s="25" t="s">
        <v>56</v>
      </c>
      <c r="B9" s="10" t="s">
        <v>58</v>
      </c>
      <c r="C9" s="28" t="s">
        <v>59</v>
      </c>
      <c r="D9" s="28" t="s">
        <v>64</v>
      </c>
      <c r="E9" s="14" t="s">
        <v>66</v>
      </c>
      <c r="F9" s="30" t="s">
        <v>69</v>
      </c>
    </row>
    <row r="10" ht="43.5" customHeight="1">
      <c r="A10" s="31" t="s">
        <v>72</v>
      </c>
      <c r="B10" s="15" t="s">
        <v>74</v>
      </c>
      <c r="C10" s="32" t="s">
        <v>78</v>
      </c>
      <c r="D10" s="32" t="s">
        <v>81</v>
      </c>
      <c r="E10" s="17" t="s">
        <v>82</v>
      </c>
      <c r="F10" s="16" t="s">
        <v>85</v>
      </c>
    </row>
    <row r="11" ht="4.5" customHeight="1"/>
    <row r="12" ht="15.75" customHeight="1">
      <c r="A12" s="3" t="s">
        <v>88</v>
      </c>
      <c r="B12" s="4"/>
      <c r="C12" s="4"/>
      <c r="D12" s="4"/>
      <c r="E12" s="4"/>
      <c r="F12" s="4"/>
      <c r="G12" s="5"/>
    </row>
    <row r="13" ht="27.75" customHeight="1">
      <c r="A13" s="6" t="s">
        <v>92</v>
      </c>
      <c r="B13" s="6" t="s">
        <v>93</v>
      </c>
      <c r="C13" s="6" t="s">
        <v>94</v>
      </c>
      <c r="D13" s="6" t="s">
        <v>95</v>
      </c>
      <c r="E13" s="6" t="s">
        <v>96</v>
      </c>
      <c r="F13" s="6" t="s">
        <v>99</v>
      </c>
      <c r="G13" s="6" t="s">
        <v>101</v>
      </c>
    </row>
    <row r="14" ht="18.0" customHeight="1">
      <c r="A14" s="6" t="s">
        <v>13</v>
      </c>
      <c r="B14" s="10" t="s">
        <v>103</v>
      </c>
      <c r="C14" s="36" t="s">
        <v>105</v>
      </c>
      <c r="D14" s="12" t="s">
        <v>95</v>
      </c>
      <c r="E14" s="14" t="s">
        <v>110</v>
      </c>
      <c r="F14" s="12" t="s">
        <v>99</v>
      </c>
      <c r="G14" s="36" t="s">
        <v>114</v>
      </c>
    </row>
    <row r="15" ht="18.0" customHeight="1">
      <c r="A15" s="6" t="s">
        <v>13</v>
      </c>
      <c r="B15" s="10" t="s">
        <v>117</v>
      </c>
      <c r="C15" s="36" t="s">
        <v>118</v>
      </c>
      <c r="D15" s="12" t="s">
        <v>95</v>
      </c>
      <c r="E15" s="14" t="s">
        <v>120</v>
      </c>
      <c r="F15" s="12" t="s">
        <v>99</v>
      </c>
      <c r="G15" s="36" t="s">
        <v>122</v>
      </c>
    </row>
    <row r="16" ht="18.0" customHeight="1">
      <c r="A16" s="23" t="s">
        <v>28</v>
      </c>
      <c r="B16" s="15" t="s">
        <v>127</v>
      </c>
      <c r="C16" s="38" t="s">
        <v>131</v>
      </c>
      <c r="D16" s="16" t="s">
        <v>95</v>
      </c>
      <c r="E16" s="17" t="s">
        <v>135</v>
      </c>
      <c r="F16" s="16" t="s">
        <v>99</v>
      </c>
      <c r="G16" s="38" t="s">
        <v>137</v>
      </c>
    </row>
    <row r="17" ht="18.0" customHeight="1">
      <c r="A17" s="23" t="s">
        <v>28</v>
      </c>
      <c r="B17" s="15" t="s">
        <v>141</v>
      </c>
      <c r="C17" s="38" t="s">
        <v>142</v>
      </c>
      <c r="D17" s="16" t="s">
        <v>95</v>
      </c>
      <c r="E17" s="17" t="s">
        <v>144</v>
      </c>
      <c r="F17" s="16" t="s">
        <v>99</v>
      </c>
      <c r="G17" s="38" t="s">
        <v>147</v>
      </c>
    </row>
    <row r="18" ht="18.0" customHeight="1">
      <c r="A18" s="22" t="s">
        <v>149</v>
      </c>
      <c r="B18" s="20" t="s">
        <v>152</v>
      </c>
      <c r="C18" s="39" t="s">
        <v>156</v>
      </c>
      <c r="D18" s="40" t="s">
        <v>95</v>
      </c>
      <c r="E18" s="24" t="s">
        <v>160</v>
      </c>
      <c r="F18" s="40" t="s">
        <v>99</v>
      </c>
      <c r="G18" s="39" t="s">
        <v>163</v>
      </c>
    </row>
    <row r="19" ht="18.0" customHeight="1">
      <c r="A19" s="28" t="s">
        <v>165</v>
      </c>
      <c r="B19" s="10" t="s">
        <v>167</v>
      </c>
      <c r="C19" s="42" t="s">
        <v>169</v>
      </c>
      <c r="D19" s="12" t="s">
        <v>95</v>
      </c>
      <c r="E19" s="14" t="s">
        <v>160</v>
      </c>
      <c r="F19" s="12" t="s">
        <v>99</v>
      </c>
      <c r="G19" s="42" t="s">
        <v>177</v>
      </c>
    </row>
    <row r="20" ht="18.0" customHeight="1">
      <c r="A20" s="32" t="s">
        <v>179</v>
      </c>
      <c r="B20" s="15" t="s">
        <v>181</v>
      </c>
      <c r="C20" s="44" t="s">
        <v>131</v>
      </c>
      <c r="D20" s="16" t="s">
        <v>95</v>
      </c>
      <c r="E20" s="17" t="s">
        <v>190</v>
      </c>
      <c r="F20" s="16" t="s">
        <v>99</v>
      </c>
      <c r="G20" s="44" t="s">
        <v>193</v>
      </c>
    </row>
    <row r="21" ht="4.5" customHeight="1"/>
    <row r="22" ht="15.75" customHeight="1">
      <c r="A22" s="3" t="s">
        <v>196</v>
      </c>
      <c r="B22" s="4"/>
      <c r="C22" s="4"/>
      <c r="D22" s="4"/>
      <c r="E22" s="4"/>
      <c r="F22" s="4"/>
      <c r="G22" s="5"/>
    </row>
    <row r="23" ht="27.75" customHeight="1">
      <c r="A23" s="6" t="s">
        <v>14</v>
      </c>
      <c r="B23" s="6" t="s">
        <v>203</v>
      </c>
      <c r="C23" s="6" t="s">
        <v>205</v>
      </c>
    </row>
    <row r="24" ht="27.75" customHeight="1">
      <c r="A24" s="8" t="s">
        <v>209</v>
      </c>
      <c r="B24" s="14" t="s">
        <v>210</v>
      </c>
      <c r="C24" s="10" t="s">
        <v>212</v>
      </c>
    </row>
    <row r="25" ht="27.75" customHeight="1">
      <c r="A25" s="8" t="s">
        <v>217</v>
      </c>
      <c r="B25" s="14" t="s">
        <v>219</v>
      </c>
      <c r="C25" s="10" t="s">
        <v>220</v>
      </c>
    </row>
    <row r="26" ht="27.75" customHeight="1">
      <c r="A26" s="8" t="s">
        <v>221</v>
      </c>
      <c r="B26" s="14" t="s">
        <v>222</v>
      </c>
      <c r="C26" s="10" t="s">
        <v>224</v>
      </c>
    </row>
    <row r="27" ht="27.75" customHeight="1">
      <c r="A27" s="8" t="s">
        <v>226</v>
      </c>
      <c r="B27" s="14" t="s">
        <v>229</v>
      </c>
      <c r="C27" s="10" t="s">
        <v>231</v>
      </c>
    </row>
    <row r="28" ht="27.75" customHeight="1">
      <c r="A28" s="8" t="s">
        <v>233</v>
      </c>
      <c r="B28" s="14" t="s">
        <v>235</v>
      </c>
      <c r="C28" s="10" t="s">
        <v>236</v>
      </c>
    </row>
    <row r="29" ht="27.75" customHeight="1">
      <c r="A29" s="8" t="s">
        <v>239</v>
      </c>
      <c r="B29" s="14" t="s">
        <v>240</v>
      </c>
      <c r="C29" s="10" t="s">
        <v>241</v>
      </c>
    </row>
    <row r="30" ht="15.75" customHeight="1"/>
    <row r="31" ht="24.0" customHeight="1">
      <c r="A31" s="49" t="s">
        <v>244</v>
      </c>
    </row>
    <row r="32" ht="15.75" customHeight="1"/>
    <row r="33" ht="15.75" customHeight="1">
      <c r="A33" s="50" t="s">
        <v>5</v>
      </c>
      <c r="B33" s="50" t="s">
        <v>255</v>
      </c>
    </row>
    <row r="34" ht="15.75" customHeight="1">
      <c r="A34" s="50" t="s">
        <v>257</v>
      </c>
      <c r="B34" s="50">
        <v>30.0</v>
      </c>
    </row>
    <row r="35" ht="15.75" customHeight="1">
      <c r="A35" s="50" t="s">
        <v>266</v>
      </c>
      <c r="B35" s="50">
        <v>18.7</v>
      </c>
    </row>
    <row r="36" ht="15.75" customHeight="1">
      <c r="A36" s="50" t="s">
        <v>269</v>
      </c>
      <c r="B36" s="50">
        <v>2.9</v>
      </c>
    </row>
    <row r="37" ht="15.75" customHeight="1">
      <c r="A37" s="50" t="s">
        <v>274</v>
      </c>
      <c r="B37" s="50">
        <v>1.2</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G1"/>
    <mergeCell ref="A2:G2"/>
    <mergeCell ref="A4:G4"/>
    <mergeCell ref="A12:G12"/>
    <mergeCell ref="A22:G22"/>
    <mergeCell ref="A31:G3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11.0"/>
    <col customWidth="1" min="3" max="3" width="28.0"/>
    <col customWidth="1" min="4" max="4" width="31.57"/>
    <col customWidth="1" min="5" max="5" width="26.0"/>
    <col customWidth="1" min="6" max="6" width="11.0"/>
    <col customWidth="1" min="7" max="7" width="28.0"/>
    <col customWidth="1" min="8" max="8" width="11.0"/>
    <col customWidth="1" min="9" max="9" width="10.0"/>
    <col customWidth="1" min="10" max="26" width="8.71"/>
  </cols>
  <sheetData>
    <row r="1" ht="15.75" customHeight="1">
      <c r="A1" s="3" t="s">
        <v>1</v>
      </c>
      <c r="B1" s="4"/>
      <c r="C1" s="4"/>
      <c r="D1" s="4"/>
      <c r="E1" s="4"/>
      <c r="F1" s="4"/>
      <c r="G1" s="4"/>
      <c r="H1" s="4"/>
      <c r="I1" s="5"/>
    </row>
    <row r="2" ht="72.0" customHeight="1">
      <c r="A2" s="7" t="s">
        <v>7</v>
      </c>
      <c r="B2" s="9"/>
      <c r="C2" s="9"/>
      <c r="D2" s="9"/>
      <c r="E2" s="9"/>
      <c r="F2" s="9"/>
      <c r="G2" s="9"/>
      <c r="H2" s="9"/>
      <c r="I2" s="11"/>
    </row>
    <row r="3" ht="4.5" customHeight="1"/>
    <row r="4" ht="15.75" customHeight="1">
      <c r="A4" s="3" t="s">
        <v>22</v>
      </c>
      <c r="B4" s="4"/>
      <c r="C4" s="4"/>
      <c r="D4" s="4"/>
      <c r="E4" s="4"/>
      <c r="F4" s="4"/>
      <c r="G4" s="4"/>
      <c r="H4" s="4"/>
      <c r="I4" s="5"/>
    </row>
    <row r="5" ht="27.75" customHeight="1">
      <c r="A5" s="6" t="s">
        <v>32</v>
      </c>
      <c r="B5" s="6" t="s">
        <v>34</v>
      </c>
      <c r="C5" s="6" t="s">
        <v>35</v>
      </c>
      <c r="D5" s="6" t="s">
        <v>37</v>
      </c>
      <c r="E5" s="6" t="s">
        <v>38</v>
      </c>
      <c r="F5" s="6" t="s">
        <v>40</v>
      </c>
      <c r="G5" s="6" t="s">
        <v>41</v>
      </c>
      <c r="H5" s="6" t="s">
        <v>42</v>
      </c>
      <c r="I5" s="6" t="s">
        <v>12</v>
      </c>
    </row>
    <row r="6" ht="55.5" customHeight="1">
      <c r="A6" s="19" t="s">
        <v>44</v>
      </c>
      <c r="B6" s="23" t="s">
        <v>46</v>
      </c>
      <c r="C6" s="15" t="s">
        <v>53</v>
      </c>
      <c r="D6" s="26" t="s">
        <v>57</v>
      </c>
      <c r="E6" s="22" t="s">
        <v>60</v>
      </c>
      <c r="F6" s="15" t="s">
        <v>62</v>
      </c>
      <c r="G6" s="29" t="s">
        <v>68</v>
      </c>
      <c r="H6" s="16" t="s">
        <v>70</v>
      </c>
      <c r="I6" s="16" t="s">
        <v>71</v>
      </c>
    </row>
    <row r="7" ht="55.5" customHeight="1">
      <c r="A7" s="19" t="s">
        <v>44</v>
      </c>
      <c r="B7" s="23" t="s">
        <v>73</v>
      </c>
      <c r="C7" s="15" t="s">
        <v>75</v>
      </c>
      <c r="D7" s="26" t="s">
        <v>76</v>
      </c>
      <c r="E7" s="22" t="s">
        <v>77</v>
      </c>
      <c r="F7" s="15" t="s">
        <v>80</v>
      </c>
      <c r="G7" s="29" t="s">
        <v>83</v>
      </c>
      <c r="H7" s="16" t="s">
        <v>86</v>
      </c>
      <c r="I7" s="16" t="s">
        <v>71</v>
      </c>
    </row>
    <row r="8" ht="55.5" customHeight="1">
      <c r="A8" s="33" t="s">
        <v>89</v>
      </c>
      <c r="B8" s="6" t="s">
        <v>90</v>
      </c>
      <c r="C8" s="10" t="s">
        <v>91</v>
      </c>
      <c r="D8" s="35" t="s">
        <v>100</v>
      </c>
      <c r="E8" s="22" t="s">
        <v>104</v>
      </c>
      <c r="F8" s="10" t="s">
        <v>107</v>
      </c>
      <c r="G8" s="37" t="s">
        <v>113</v>
      </c>
      <c r="H8" s="12" t="s">
        <v>124</v>
      </c>
      <c r="I8" s="12" t="s">
        <v>71</v>
      </c>
    </row>
    <row r="9" ht="55.5" customHeight="1">
      <c r="A9" s="33" t="s">
        <v>89</v>
      </c>
      <c r="B9" s="6" t="s">
        <v>129</v>
      </c>
      <c r="C9" s="10" t="s">
        <v>130</v>
      </c>
      <c r="D9" s="35" t="s">
        <v>133</v>
      </c>
      <c r="E9" s="22" t="s">
        <v>134</v>
      </c>
      <c r="F9" s="10" t="s">
        <v>136</v>
      </c>
      <c r="G9" s="37" t="s">
        <v>138</v>
      </c>
      <c r="H9" s="12" t="s">
        <v>139</v>
      </c>
      <c r="I9" s="12" t="s">
        <v>71</v>
      </c>
    </row>
    <row r="10" ht="55.5" customHeight="1">
      <c r="A10" s="19" t="s">
        <v>143</v>
      </c>
      <c r="B10" s="23" t="s">
        <v>145</v>
      </c>
      <c r="C10" s="15" t="s">
        <v>146</v>
      </c>
      <c r="D10" s="26" t="s">
        <v>148</v>
      </c>
      <c r="E10" s="22" t="s">
        <v>151</v>
      </c>
      <c r="F10" s="15" t="s">
        <v>154</v>
      </c>
      <c r="G10" s="29" t="s">
        <v>158</v>
      </c>
      <c r="H10" s="16" t="s">
        <v>86</v>
      </c>
      <c r="I10" s="16" t="s">
        <v>71</v>
      </c>
    </row>
    <row r="11" ht="55.5" customHeight="1">
      <c r="A11" s="19" t="s">
        <v>143</v>
      </c>
      <c r="B11" s="23" t="s">
        <v>161</v>
      </c>
      <c r="C11" s="15" t="s">
        <v>162</v>
      </c>
      <c r="D11" s="26" t="s">
        <v>164</v>
      </c>
      <c r="E11" s="22" t="s">
        <v>166</v>
      </c>
      <c r="F11" s="15" t="s">
        <v>168</v>
      </c>
      <c r="G11" s="29" t="s">
        <v>171</v>
      </c>
      <c r="H11" s="16" t="s">
        <v>172</v>
      </c>
      <c r="I11" s="16" t="s">
        <v>71</v>
      </c>
    </row>
    <row r="12" ht="55.5" customHeight="1">
      <c r="A12" s="19" t="s">
        <v>143</v>
      </c>
      <c r="B12" s="23" t="s">
        <v>180</v>
      </c>
      <c r="C12" s="15" t="s">
        <v>182</v>
      </c>
      <c r="D12" s="26" t="s">
        <v>184</v>
      </c>
      <c r="E12" s="22" t="s">
        <v>185</v>
      </c>
      <c r="F12" s="15" t="s">
        <v>186</v>
      </c>
      <c r="G12" s="29" t="s">
        <v>188</v>
      </c>
      <c r="H12" s="16" t="s">
        <v>189</v>
      </c>
      <c r="I12" s="16" t="s">
        <v>71</v>
      </c>
    </row>
    <row r="14" ht="4.5" customHeight="1"/>
    <row r="15" ht="15.75" customHeight="1">
      <c r="A15" s="3" t="s">
        <v>194</v>
      </c>
      <c r="B15" s="4"/>
      <c r="C15" s="4"/>
      <c r="D15" s="4"/>
      <c r="E15" s="4"/>
      <c r="F15" s="4"/>
      <c r="G15" s="4"/>
      <c r="H15" s="4"/>
      <c r="I15" s="5"/>
    </row>
    <row r="16" ht="27.75" customHeight="1">
      <c r="A16" s="6" t="s">
        <v>204</v>
      </c>
      <c r="B16" s="6" t="s">
        <v>206</v>
      </c>
      <c r="C16" s="6" t="s">
        <v>208</v>
      </c>
      <c r="D16" s="6" t="s">
        <v>211</v>
      </c>
      <c r="E16" s="6" t="s">
        <v>215</v>
      </c>
      <c r="F16" s="6" t="s">
        <v>216</v>
      </c>
      <c r="G16" s="6" t="s">
        <v>218</v>
      </c>
    </row>
    <row r="17" ht="39.75" customHeight="1">
      <c r="A17" s="13" t="s">
        <v>223</v>
      </c>
      <c r="B17" s="26" t="s">
        <v>227</v>
      </c>
      <c r="C17" s="22" t="s">
        <v>230</v>
      </c>
      <c r="D17" s="46" t="s">
        <v>234</v>
      </c>
      <c r="E17" s="47" t="s">
        <v>242</v>
      </c>
      <c r="F17" s="29" t="s">
        <v>246</v>
      </c>
      <c r="G17" s="15" t="s">
        <v>247</v>
      </c>
    </row>
    <row r="18" ht="39.75" customHeight="1">
      <c r="A18" s="8" t="s">
        <v>249</v>
      </c>
      <c r="B18" s="35" t="s">
        <v>251</v>
      </c>
      <c r="C18" s="22" t="s">
        <v>104</v>
      </c>
      <c r="D18" s="30" t="s">
        <v>104</v>
      </c>
      <c r="E18" s="34" t="s">
        <v>256</v>
      </c>
      <c r="F18" s="37" t="s">
        <v>258</v>
      </c>
      <c r="G18" s="10" t="s">
        <v>260</v>
      </c>
    </row>
    <row r="19" ht="39.75" customHeight="1">
      <c r="A19" s="13" t="s">
        <v>262</v>
      </c>
      <c r="B19" s="26" t="s">
        <v>263</v>
      </c>
      <c r="C19" s="22" t="s">
        <v>77</v>
      </c>
      <c r="D19" s="46" t="s">
        <v>77</v>
      </c>
      <c r="E19" s="15" t="s">
        <v>267</v>
      </c>
      <c r="F19" s="29" t="s">
        <v>270</v>
      </c>
      <c r="G19" s="15" t="s">
        <v>272</v>
      </c>
    </row>
    <row r="20" ht="39.75" customHeight="1">
      <c r="A20" s="8" t="s">
        <v>275</v>
      </c>
      <c r="B20" s="35" t="s">
        <v>277</v>
      </c>
      <c r="C20" s="22" t="s">
        <v>60</v>
      </c>
      <c r="D20" s="30" t="s">
        <v>60</v>
      </c>
      <c r="E20" s="10" t="s">
        <v>279</v>
      </c>
      <c r="F20" s="37" t="s">
        <v>282</v>
      </c>
      <c r="G20" s="10" t="s">
        <v>284</v>
      </c>
    </row>
    <row r="21" ht="39.75" customHeight="1">
      <c r="A21" s="13" t="s">
        <v>286</v>
      </c>
      <c r="B21" s="26" t="s">
        <v>288</v>
      </c>
      <c r="C21" s="22" t="s">
        <v>289</v>
      </c>
      <c r="D21" s="46" t="s">
        <v>290</v>
      </c>
      <c r="E21" s="15" t="s">
        <v>291</v>
      </c>
      <c r="F21" s="29" t="s">
        <v>293</v>
      </c>
      <c r="G21" s="15" t="s">
        <v>296</v>
      </c>
    </row>
    <row r="22" ht="39.75" customHeight="1">
      <c r="A22" s="8" t="s">
        <v>298</v>
      </c>
      <c r="B22" s="35" t="s">
        <v>299</v>
      </c>
      <c r="C22" s="22" t="s">
        <v>300</v>
      </c>
      <c r="D22" s="30" t="s">
        <v>301</v>
      </c>
      <c r="E22" s="10" t="s">
        <v>302</v>
      </c>
      <c r="F22" s="37" t="s">
        <v>303</v>
      </c>
      <c r="G22" s="10" t="s">
        <v>304</v>
      </c>
    </row>
    <row r="23" ht="39.75" customHeight="1">
      <c r="A23" s="13" t="s">
        <v>306</v>
      </c>
      <c r="B23" s="26" t="s">
        <v>308</v>
      </c>
      <c r="C23" s="22" t="s">
        <v>309</v>
      </c>
      <c r="D23" s="46" t="s">
        <v>311</v>
      </c>
      <c r="E23" s="15" t="s">
        <v>312</v>
      </c>
      <c r="F23" s="29" t="s">
        <v>314</v>
      </c>
      <c r="G23" s="15" t="s">
        <v>315</v>
      </c>
    </row>
    <row r="24" ht="39.75" customHeight="1">
      <c r="A24" s="8" t="s">
        <v>264</v>
      </c>
      <c r="B24" s="35" t="s">
        <v>316</v>
      </c>
      <c r="C24" s="22" t="s">
        <v>317</v>
      </c>
      <c r="D24" s="30" t="s">
        <v>268</v>
      </c>
      <c r="E24" s="10" t="s">
        <v>322</v>
      </c>
      <c r="F24" s="37" t="s">
        <v>325</v>
      </c>
      <c r="G24" s="10" t="s">
        <v>326</v>
      </c>
    </row>
    <row r="25" ht="15.75" customHeight="1"/>
    <row r="26" ht="4.5" customHeight="1"/>
    <row r="27" ht="15.75" customHeight="1">
      <c r="A27" s="3" t="s">
        <v>328</v>
      </c>
      <c r="B27" s="4"/>
      <c r="C27" s="4"/>
      <c r="D27" s="4"/>
      <c r="E27" s="4"/>
      <c r="F27" s="4"/>
      <c r="G27" s="4"/>
      <c r="H27" s="4"/>
      <c r="I27" s="5"/>
    </row>
    <row r="28" ht="27.75" customHeight="1">
      <c r="A28" s="6" t="s">
        <v>337</v>
      </c>
      <c r="B28" s="6" t="s">
        <v>339</v>
      </c>
      <c r="C28" s="6" t="s">
        <v>340</v>
      </c>
      <c r="D28" s="6" t="s">
        <v>342</v>
      </c>
      <c r="E28" s="6" t="s">
        <v>345</v>
      </c>
      <c r="F28" s="6" t="s">
        <v>346</v>
      </c>
      <c r="G28" s="6" t="s">
        <v>347</v>
      </c>
    </row>
    <row r="29" ht="30.0" customHeight="1">
      <c r="A29" s="13" t="s">
        <v>348</v>
      </c>
      <c r="B29" s="15" t="s">
        <v>349</v>
      </c>
      <c r="C29" s="15" t="s">
        <v>351</v>
      </c>
      <c r="D29" s="53" t="s">
        <v>352</v>
      </c>
      <c r="E29" s="43" t="s">
        <v>359</v>
      </c>
      <c r="F29" s="15" t="s">
        <v>360</v>
      </c>
      <c r="G29" s="15" t="s">
        <v>362</v>
      </c>
    </row>
    <row r="30" ht="30.0" customHeight="1">
      <c r="A30" s="8" t="s">
        <v>363</v>
      </c>
      <c r="B30" s="10" t="s">
        <v>365</v>
      </c>
      <c r="C30" s="10" t="s">
        <v>367</v>
      </c>
      <c r="D30" s="55" t="s">
        <v>371</v>
      </c>
      <c r="E30" s="34" t="s">
        <v>375</v>
      </c>
      <c r="F30" s="10" t="s">
        <v>376</v>
      </c>
      <c r="G30" s="10" t="s">
        <v>378</v>
      </c>
    </row>
    <row r="31" ht="30.0" customHeight="1">
      <c r="A31" s="56" t="s">
        <v>380</v>
      </c>
      <c r="B31" s="57" t="s">
        <v>383</v>
      </c>
      <c r="C31" s="57" t="s">
        <v>384</v>
      </c>
      <c r="D31" s="58" t="s">
        <v>385</v>
      </c>
      <c r="E31" s="47" t="s">
        <v>387</v>
      </c>
      <c r="F31" s="57" t="s">
        <v>389</v>
      </c>
      <c r="G31" s="57" t="s">
        <v>391</v>
      </c>
    </row>
    <row r="32" ht="15.75" customHeight="1"/>
    <row r="33" ht="24.0" customHeight="1">
      <c r="A33" s="49" t="s">
        <v>394</v>
      </c>
    </row>
    <row r="34" ht="15.75" customHeight="1"/>
    <row r="35" ht="15.75" customHeight="1">
      <c r="A35" s="50" t="s">
        <v>398</v>
      </c>
      <c r="B35" s="50" t="s">
        <v>400</v>
      </c>
      <c r="C35" s="50" t="s">
        <v>402</v>
      </c>
    </row>
    <row r="36" ht="15.75" customHeight="1">
      <c r="A36" s="50" t="s">
        <v>354</v>
      </c>
      <c r="B36" s="50">
        <v>60.0</v>
      </c>
      <c r="C36" s="50">
        <v>720.0</v>
      </c>
    </row>
    <row r="37" ht="15.75" customHeight="1">
      <c r="A37" s="50" t="s">
        <v>355</v>
      </c>
      <c r="B37" s="50">
        <v>150.0</v>
      </c>
      <c r="C37" s="50">
        <v>1800.0</v>
      </c>
    </row>
    <row r="38" ht="15.75" customHeight="1">
      <c r="A38" s="50" t="s">
        <v>357</v>
      </c>
      <c r="B38" s="50">
        <v>375.0</v>
      </c>
      <c r="C38" s="50">
        <v>4500.0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c r="B62" s="59" t="s">
        <v>418</v>
      </c>
      <c r="C62" s="59" t="s">
        <v>419</v>
      </c>
      <c r="D62" s="59" t="s">
        <v>420</v>
      </c>
    </row>
    <row r="63" ht="15.75" customHeight="1">
      <c r="B63" s="60" t="s">
        <v>423</v>
      </c>
      <c r="C63" s="60" t="s">
        <v>426</v>
      </c>
      <c r="D63" s="61" t="s">
        <v>428</v>
      </c>
    </row>
    <row r="64" ht="15.75" customHeight="1">
      <c r="C64" s="60" t="s">
        <v>430</v>
      </c>
      <c r="D64" s="61" t="s">
        <v>431</v>
      </c>
    </row>
    <row r="65" ht="15.75" customHeight="1">
      <c r="B65" s="60" t="s">
        <v>124</v>
      </c>
      <c r="C65" s="60" t="s">
        <v>432</v>
      </c>
      <c r="D65" s="61" t="s">
        <v>433</v>
      </c>
    </row>
    <row r="66" ht="15.75" customHeight="1">
      <c r="C66" s="60" t="s">
        <v>434</v>
      </c>
      <c r="D66" s="61" t="s">
        <v>435</v>
      </c>
    </row>
    <row r="67" ht="15.75" customHeight="1">
      <c r="B67" s="60" t="s">
        <v>70</v>
      </c>
      <c r="C67" s="60" t="s">
        <v>439</v>
      </c>
      <c r="D67" s="61" t="s">
        <v>440</v>
      </c>
    </row>
    <row r="68" ht="15.75" customHeight="1">
      <c r="C68" s="60" t="s">
        <v>442</v>
      </c>
      <c r="D68" s="61" t="s">
        <v>443</v>
      </c>
    </row>
    <row r="69" ht="15.75" customHeight="1">
      <c r="B69" s="60" t="s">
        <v>444</v>
      </c>
      <c r="C69" s="60" t="s">
        <v>445</v>
      </c>
      <c r="D69" s="61" t="s">
        <v>446</v>
      </c>
    </row>
    <row r="70" ht="15.75" customHeight="1">
      <c r="C70" s="60" t="s">
        <v>448</v>
      </c>
      <c r="D70" s="61" t="s">
        <v>449</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65:B66"/>
    <mergeCell ref="B67:B68"/>
    <mergeCell ref="B69:B70"/>
    <mergeCell ref="A1:I1"/>
    <mergeCell ref="A2:I2"/>
    <mergeCell ref="A4:I4"/>
    <mergeCell ref="A15:I15"/>
    <mergeCell ref="A27:I27"/>
    <mergeCell ref="A33:I33"/>
    <mergeCell ref="B63:B64"/>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6.0"/>
    <col customWidth="1" min="2" max="2" width="18.0"/>
    <col customWidth="1" min="3" max="3" width="50.0"/>
    <col customWidth="1" min="4" max="4" width="14.57"/>
    <col customWidth="1" min="5" max="5" width="20.0"/>
    <col customWidth="1" min="6" max="6" width="18.43"/>
    <col customWidth="1" min="7" max="26" width="8.71"/>
  </cols>
  <sheetData>
    <row r="1" ht="15.75" customHeight="1">
      <c r="A1" s="3" t="s">
        <v>3</v>
      </c>
      <c r="B1" s="4"/>
      <c r="C1" s="4"/>
      <c r="D1" s="4"/>
      <c r="E1" s="4"/>
      <c r="F1" s="5"/>
    </row>
    <row r="2" ht="4.5" customHeight="1"/>
    <row r="3" ht="15.75" customHeight="1">
      <c r="A3" s="3" t="s">
        <v>6</v>
      </c>
      <c r="B3" s="4"/>
      <c r="C3" s="4"/>
      <c r="D3" s="4"/>
      <c r="E3" s="4"/>
      <c r="F3" s="5"/>
    </row>
    <row r="4" ht="27.75" customHeight="1">
      <c r="A4" s="6" t="s">
        <v>14</v>
      </c>
      <c r="B4" s="6" t="s">
        <v>16</v>
      </c>
      <c r="C4" s="6" t="s">
        <v>17</v>
      </c>
      <c r="D4" s="6" t="s">
        <v>19</v>
      </c>
      <c r="E4" s="6" t="s">
        <v>20</v>
      </c>
      <c r="F4" s="6" t="s">
        <v>21</v>
      </c>
    </row>
    <row r="5">
      <c r="A5" s="13" t="s">
        <v>24</v>
      </c>
      <c r="B5" s="15" t="s">
        <v>26</v>
      </c>
      <c r="C5" s="15" t="s">
        <v>29</v>
      </c>
      <c r="D5" s="21" t="str">
        <f t="shared" ref="D5:D6" si="1">HYPERLINK("https://shelftrend.com","ShelfTrend 2025")</f>
        <v>ShelfTrend 2025</v>
      </c>
      <c r="E5" s="15" t="s">
        <v>48</v>
      </c>
      <c r="F5" s="15" t="s">
        <v>50</v>
      </c>
    </row>
    <row r="6">
      <c r="A6" s="8" t="s">
        <v>52</v>
      </c>
      <c r="B6" s="10" t="s">
        <v>26</v>
      </c>
      <c r="C6" s="10" t="s">
        <v>55</v>
      </c>
      <c r="D6" s="27" t="str">
        <f t="shared" si="1"/>
        <v>ShelfTrend 2025</v>
      </c>
      <c r="E6" s="10" t="s">
        <v>48</v>
      </c>
      <c r="F6" s="10" t="s">
        <v>61</v>
      </c>
    </row>
    <row r="7">
      <c r="A7" s="13" t="s">
        <v>63</v>
      </c>
      <c r="B7" s="15" t="s">
        <v>65</v>
      </c>
      <c r="C7" s="15" t="s">
        <v>67</v>
      </c>
      <c r="D7" s="21" t="str">
        <f>HYPERLINK("https://www.accio.com/business/amazon-mens-wallet-best-seller","accio.com 2025")</f>
        <v>accio.com 2025</v>
      </c>
      <c r="E7" s="15" t="s">
        <v>48</v>
      </c>
      <c r="F7" s="15" t="s">
        <v>79</v>
      </c>
    </row>
    <row r="8">
      <c r="A8" s="8" t="s">
        <v>84</v>
      </c>
      <c r="B8" s="10" t="s">
        <v>13</v>
      </c>
      <c r="C8" s="10" t="s">
        <v>87</v>
      </c>
      <c r="D8" s="27" t="str">
        <f>HYPERLINK("https://www.novaoneadvisor.com/report/us-leather-goods-market","Nova One Advisor 2025")</f>
        <v>Nova One Advisor 2025</v>
      </c>
      <c r="E8" s="34" t="s">
        <v>97</v>
      </c>
      <c r="F8" s="10" t="s">
        <v>102</v>
      </c>
    </row>
    <row r="9">
      <c r="A9" s="13" t="s">
        <v>106</v>
      </c>
      <c r="B9" s="15" t="s">
        <v>108</v>
      </c>
      <c r="C9" s="15" t="s">
        <v>109</v>
      </c>
      <c r="D9" s="15" t="s">
        <v>111</v>
      </c>
      <c r="E9" s="15" t="s">
        <v>112</v>
      </c>
      <c r="F9" s="15" t="s">
        <v>115</v>
      </c>
    </row>
    <row r="10">
      <c r="A10" s="8" t="s">
        <v>116</v>
      </c>
      <c r="B10" s="10" t="s">
        <v>119</v>
      </c>
      <c r="C10" s="10" t="s">
        <v>121</v>
      </c>
      <c r="D10" s="10" t="s">
        <v>123</v>
      </c>
      <c r="E10" s="10" t="s">
        <v>48</v>
      </c>
      <c r="F10" s="10" t="s">
        <v>126</v>
      </c>
    </row>
    <row r="11">
      <c r="A11" s="13" t="s">
        <v>128</v>
      </c>
      <c r="B11" s="15" t="s">
        <v>26</v>
      </c>
      <c r="C11" s="15" t="s">
        <v>132</v>
      </c>
      <c r="D11" s="21" t="str">
        <f>HYPERLINK("https://erank.com","eRank 2025")</f>
        <v>eRank 2025</v>
      </c>
      <c r="E11" s="15" t="s">
        <v>48</v>
      </c>
      <c r="F11" s="15" t="s">
        <v>150</v>
      </c>
    </row>
    <row r="12">
      <c r="A12" s="8" t="s">
        <v>153</v>
      </c>
      <c r="B12" s="10" t="s">
        <v>155</v>
      </c>
      <c r="C12" s="10" t="s">
        <v>157</v>
      </c>
      <c r="D12" s="27" t="str">
        <f>HYPERLINK("https://printkk.com","Public pricing (printKK.com)")</f>
        <v>Public pricing (printKK.com)</v>
      </c>
      <c r="E12" s="10" t="s">
        <v>112</v>
      </c>
      <c r="F12" s="10" t="s">
        <v>170</v>
      </c>
    </row>
    <row r="13">
      <c r="A13" s="13" t="s">
        <v>174</v>
      </c>
      <c r="B13" s="15" t="s">
        <v>175</v>
      </c>
      <c r="C13" s="15" t="s">
        <v>176</v>
      </c>
      <c r="D13" s="15" t="s">
        <v>178</v>
      </c>
      <c r="E13" s="43" t="s">
        <v>183</v>
      </c>
      <c r="F13" s="15" t="s">
        <v>187</v>
      </c>
    </row>
    <row r="15" ht="4.5" customHeight="1"/>
    <row r="16" ht="15.75" customHeight="1">
      <c r="A16" s="3" t="s">
        <v>191</v>
      </c>
      <c r="B16" s="4"/>
      <c r="C16" s="4"/>
      <c r="D16" s="4"/>
      <c r="E16" s="4"/>
      <c r="F16" s="5"/>
    </row>
    <row r="17" ht="27.75" customHeight="1">
      <c r="A17" s="6" t="s">
        <v>199</v>
      </c>
      <c r="B17" s="6" t="s">
        <v>94</v>
      </c>
      <c r="C17" s="6" t="s">
        <v>200</v>
      </c>
      <c r="D17" s="6"/>
      <c r="E17" s="6"/>
      <c r="F17" s="6"/>
    </row>
    <row r="18">
      <c r="A18" s="13" t="s">
        <v>202</v>
      </c>
      <c r="B18" s="38" t="s">
        <v>207</v>
      </c>
      <c r="C18" s="45" t="s">
        <v>213</v>
      </c>
      <c r="D18" s="9"/>
      <c r="E18" s="9"/>
      <c r="F18" s="11"/>
    </row>
    <row r="19">
      <c r="A19" s="8" t="s">
        <v>228</v>
      </c>
      <c r="B19" s="36" t="s">
        <v>232</v>
      </c>
      <c r="C19" s="48" t="s">
        <v>238</v>
      </c>
      <c r="D19" s="9"/>
      <c r="E19" s="9"/>
      <c r="F19" s="11"/>
    </row>
    <row r="20">
      <c r="A20" s="13" t="s">
        <v>252</v>
      </c>
      <c r="B20" s="38" t="s">
        <v>156</v>
      </c>
      <c r="C20" s="45" t="s">
        <v>254</v>
      </c>
      <c r="D20" s="9"/>
      <c r="E20" s="9"/>
      <c r="F20" s="11"/>
    </row>
    <row r="21" ht="15.75" customHeight="1">
      <c r="A21" s="8" t="s">
        <v>264</v>
      </c>
      <c r="B21" s="42" t="s">
        <v>268</v>
      </c>
      <c r="C21" s="48" t="s">
        <v>273</v>
      </c>
      <c r="D21" s="9"/>
      <c r="E21" s="9"/>
      <c r="F21" s="11"/>
    </row>
    <row r="22" ht="15.75" customHeight="1">
      <c r="A22" s="13" t="s">
        <v>280</v>
      </c>
      <c r="B22" s="38" t="s">
        <v>283</v>
      </c>
      <c r="C22" s="45" t="s">
        <v>285</v>
      </c>
      <c r="D22" s="9"/>
      <c r="E22" s="9"/>
      <c r="F22" s="11"/>
    </row>
    <row r="23" ht="15.75" customHeight="1">
      <c r="A23" s="8" t="s">
        <v>292</v>
      </c>
      <c r="B23" s="36" t="s">
        <v>295</v>
      </c>
      <c r="C23" s="48" t="s">
        <v>297</v>
      </c>
      <c r="D23" s="9"/>
      <c r="E23" s="9"/>
      <c r="F23" s="11"/>
    </row>
    <row r="24" ht="15.75" customHeight="1">
      <c r="A24" s="13" t="s">
        <v>307</v>
      </c>
      <c r="B24" s="44" t="s">
        <v>310</v>
      </c>
      <c r="C24" s="45" t="s">
        <v>313</v>
      </c>
      <c r="D24" s="9"/>
      <c r="E24" s="9"/>
      <c r="F24" s="11"/>
    </row>
    <row r="25" ht="15.75" customHeight="1">
      <c r="A25" s="8" t="s">
        <v>319</v>
      </c>
      <c r="B25" s="42" t="s">
        <v>321</v>
      </c>
      <c r="C25" s="48" t="s">
        <v>324</v>
      </c>
      <c r="D25" s="9"/>
      <c r="E25" s="9"/>
      <c r="F25" s="11"/>
    </row>
    <row r="26" ht="15.75" customHeight="1">
      <c r="A26" s="13" t="s">
        <v>329</v>
      </c>
      <c r="B26" s="44" t="s">
        <v>330</v>
      </c>
      <c r="C26" s="45" t="s">
        <v>331</v>
      </c>
      <c r="D26" s="9"/>
      <c r="E26" s="9"/>
      <c r="F26" s="11"/>
    </row>
    <row r="27" ht="15.75" customHeight="1">
      <c r="A27" s="8" t="s">
        <v>333</v>
      </c>
      <c r="B27" s="42" t="s">
        <v>335</v>
      </c>
      <c r="C27" s="48" t="s">
        <v>336</v>
      </c>
      <c r="D27" s="9"/>
      <c r="E27" s="9"/>
      <c r="F27" s="11"/>
    </row>
    <row r="28" ht="15.75" customHeight="1">
      <c r="A28" s="13" t="s">
        <v>341</v>
      </c>
      <c r="B28" s="44" t="s">
        <v>343</v>
      </c>
      <c r="C28" s="45" t="s">
        <v>344</v>
      </c>
      <c r="D28" s="9"/>
      <c r="E28" s="9"/>
      <c r="F28" s="11"/>
    </row>
    <row r="29" ht="15.75" customHeight="1"/>
    <row r="30" ht="24.0" customHeight="1">
      <c r="A30" s="49" t="s">
        <v>350</v>
      </c>
    </row>
    <row r="31" ht="15.75" customHeight="1"/>
    <row r="32" ht="15.75" customHeight="1">
      <c r="A32" s="50" t="s">
        <v>353</v>
      </c>
      <c r="B32" s="50" t="s">
        <v>354</v>
      </c>
      <c r="C32" s="50" t="s">
        <v>355</v>
      </c>
      <c r="D32" s="50" t="s">
        <v>357</v>
      </c>
    </row>
    <row r="33" ht="15.75" customHeight="1">
      <c r="A33" s="50" t="s">
        <v>358</v>
      </c>
      <c r="B33" s="50">
        <v>3.0</v>
      </c>
      <c r="C33" s="50">
        <v>8.0</v>
      </c>
      <c r="D33" s="50">
        <v>14.0</v>
      </c>
    </row>
    <row r="34" ht="15.75" customHeight="1">
      <c r="A34" s="50" t="s">
        <v>361</v>
      </c>
      <c r="B34" s="50">
        <v>2.0</v>
      </c>
      <c r="C34" s="50">
        <v>4.0</v>
      </c>
      <c r="D34" s="50">
        <v>5.0</v>
      </c>
    </row>
    <row r="35" ht="15.75" customHeight="1">
      <c r="A35" s="50" t="s">
        <v>364</v>
      </c>
      <c r="B35" s="50">
        <v>6.0</v>
      </c>
      <c r="C35" s="50">
        <v>15.0</v>
      </c>
      <c r="D35" s="50">
        <v>35.0</v>
      </c>
    </row>
    <row r="36" ht="15.75" customHeight="1">
      <c r="A36" s="50" t="s">
        <v>368</v>
      </c>
      <c r="B36" s="50">
        <v>8.0</v>
      </c>
      <c r="C36" s="50">
        <v>22.0</v>
      </c>
      <c r="D36" s="50">
        <v>50.0</v>
      </c>
    </row>
    <row r="37" ht="15.75" customHeight="1">
      <c r="A37" s="50" t="s">
        <v>189</v>
      </c>
      <c r="B37" s="50">
        <v>8.0</v>
      </c>
      <c r="C37" s="50">
        <v>25.0</v>
      </c>
      <c r="D37" s="50">
        <v>60.0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2:F22"/>
    <mergeCell ref="C23:F23"/>
    <mergeCell ref="C24:F24"/>
    <mergeCell ref="C25:F25"/>
    <mergeCell ref="C26:F26"/>
    <mergeCell ref="C27:F27"/>
    <mergeCell ref="C28:F28"/>
    <mergeCell ref="A30:F30"/>
    <mergeCell ref="A1:F1"/>
    <mergeCell ref="A3:F3"/>
    <mergeCell ref="A16:F16"/>
    <mergeCell ref="C18:F18"/>
    <mergeCell ref="C19:F19"/>
    <mergeCell ref="C20:F20"/>
    <mergeCell ref="C21:F2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3" width="20.0"/>
    <col customWidth="1" min="4" max="4" width="18.0"/>
    <col customWidth="1" min="5" max="5" width="40.0"/>
    <col customWidth="1" min="6" max="6" width="12.0"/>
    <col customWidth="1" min="7" max="7" width="20.0"/>
    <col customWidth="1" min="8" max="26" width="8.71"/>
  </cols>
  <sheetData>
    <row r="1" ht="15.75" customHeight="1">
      <c r="A1" s="3" t="s">
        <v>98</v>
      </c>
      <c r="B1" s="4"/>
      <c r="C1" s="4"/>
      <c r="D1" s="4"/>
      <c r="E1" s="4"/>
      <c r="F1" s="4"/>
      <c r="G1" s="5"/>
    </row>
    <row r="2" ht="79.5" customHeight="1">
      <c r="A2" s="7" t="s">
        <v>125</v>
      </c>
      <c r="B2" s="9"/>
      <c r="C2" s="9"/>
      <c r="D2" s="9"/>
      <c r="E2" s="9"/>
      <c r="F2" s="9"/>
      <c r="G2" s="11"/>
    </row>
    <row r="3" ht="15.75" customHeight="1">
      <c r="A3" s="3" t="s">
        <v>140</v>
      </c>
      <c r="B3" s="4"/>
      <c r="C3" s="4"/>
      <c r="D3" s="4"/>
      <c r="E3" s="4"/>
      <c r="F3" s="4"/>
      <c r="G3" s="5"/>
    </row>
    <row r="4" ht="51.75" customHeight="1">
      <c r="A4" s="41" t="s">
        <v>159</v>
      </c>
      <c r="B4" s="9"/>
      <c r="C4" s="9"/>
      <c r="D4" s="9"/>
      <c r="E4" s="9"/>
      <c r="F4" s="9"/>
      <c r="G4" s="11"/>
    </row>
    <row r="5" ht="4.5" customHeight="1"/>
    <row r="6" ht="15.75" customHeight="1">
      <c r="A6" s="3" t="s">
        <v>173</v>
      </c>
      <c r="B6" s="4"/>
      <c r="C6" s="4"/>
      <c r="D6" s="4"/>
      <c r="E6" s="4"/>
      <c r="F6" s="4"/>
      <c r="G6" s="5"/>
    </row>
    <row r="7" ht="27.75" customHeight="1">
      <c r="A7" s="6" t="s">
        <v>5</v>
      </c>
      <c r="B7" s="6" t="s">
        <v>192</v>
      </c>
      <c r="C7" s="6" t="s">
        <v>195</v>
      </c>
      <c r="D7" s="6" t="s">
        <v>197</v>
      </c>
      <c r="E7" s="6" t="s">
        <v>198</v>
      </c>
      <c r="F7" s="6" t="s">
        <v>12</v>
      </c>
    </row>
    <row r="8" ht="30.0" customHeight="1">
      <c r="A8" s="8" t="s">
        <v>13</v>
      </c>
      <c r="B8" s="10" t="s">
        <v>201</v>
      </c>
      <c r="C8" s="12" t="s">
        <v>18</v>
      </c>
      <c r="D8" s="12" t="s">
        <v>23</v>
      </c>
      <c r="E8" s="14" t="s">
        <v>214</v>
      </c>
      <c r="F8" s="12" t="s">
        <v>27</v>
      </c>
    </row>
    <row r="9" ht="30.0" customHeight="1">
      <c r="A9" s="13" t="s">
        <v>28</v>
      </c>
      <c r="B9" s="15" t="s">
        <v>225</v>
      </c>
      <c r="C9" s="16" t="s">
        <v>31</v>
      </c>
      <c r="D9" s="16" t="s">
        <v>33</v>
      </c>
      <c r="E9" s="17" t="s">
        <v>237</v>
      </c>
      <c r="F9" s="16" t="s">
        <v>39</v>
      </c>
    </row>
    <row r="10" ht="30.0" customHeight="1">
      <c r="A10" s="18" t="s">
        <v>243</v>
      </c>
      <c r="B10" s="20" t="s">
        <v>245</v>
      </c>
      <c r="C10" s="22" t="s">
        <v>248</v>
      </c>
      <c r="D10" s="22" t="s">
        <v>49</v>
      </c>
      <c r="E10" s="24" t="s">
        <v>250</v>
      </c>
      <c r="F10" s="22" t="s">
        <v>54</v>
      </c>
    </row>
    <row r="11" ht="30.0" customHeight="1">
      <c r="A11" s="51" t="s">
        <v>253</v>
      </c>
      <c r="B11" s="10" t="s">
        <v>259</v>
      </c>
      <c r="C11" s="28" t="s">
        <v>261</v>
      </c>
      <c r="D11" s="28" t="s">
        <v>64</v>
      </c>
      <c r="E11" s="14" t="s">
        <v>265</v>
      </c>
      <c r="F11" s="28" t="s">
        <v>69</v>
      </c>
    </row>
    <row r="12" ht="30.0" customHeight="1">
      <c r="A12" s="52" t="s">
        <v>271</v>
      </c>
      <c r="B12" s="15" t="s">
        <v>276</v>
      </c>
      <c r="C12" s="32" t="s">
        <v>278</v>
      </c>
      <c r="D12" s="32" t="s">
        <v>81</v>
      </c>
      <c r="E12" s="17" t="s">
        <v>281</v>
      </c>
      <c r="F12" s="16" t="s">
        <v>85</v>
      </c>
    </row>
    <row r="13" ht="24.0" customHeight="1">
      <c r="A13" s="49" t="s">
        <v>287</v>
      </c>
    </row>
    <row r="14" ht="4.5" customHeight="1"/>
    <row r="15" ht="15.75" customHeight="1">
      <c r="A15" s="3" t="s">
        <v>294</v>
      </c>
      <c r="B15" s="4"/>
      <c r="C15" s="4"/>
      <c r="D15" s="4"/>
      <c r="E15" s="4"/>
      <c r="F15" s="4"/>
      <c r="G15" s="5"/>
    </row>
    <row r="16" ht="27.75" customHeight="1">
      <c r="A16" s="6" t="s">
        <v>14</v>
      </c>
      <c r="B16" s="6" t="s">
        <v>305</v>
      </c>
      <c r="C16" s="6" t="s">
        <v>205</v>
      </c>
    </row>
    <row r="17" ht="27.75" customHeight="1">
      <c r="A17" s="13" t="s">
        <v>209</v>
      </c>
      <c r="B17" s="17" t="s">
        <v>210</v>
      </c>
      <c r="C17" s="15" t="s">
        <v>212</v>
      </c>
    </row>
    <row r="18" ht="27.75" customHeight="1">
      <c r="A18" s="8" t="s">
        <v>217</v>
      </c>
      <c r="B18" s="14" t="s">
        <v>219</v>
      </c>
      <c r="C18" s="10" t="s">
        <v>318</v>
      </c>
    </row>
    <row r="19" ht="27.75" customHeight="1">
      <c r="A19" s="13" t="s">
        <v>221</v>
      </c>
      <c r="B19" s="17" t="s">
        <v>320</v>
      </c>
      <c r="C19" s="15" t="s">
        <v>323</v>
      </c>
    </row>
    <row r="20" ht="27.75" customHeight="1">
      <c r="A20" s="8" t="s">
        <v>226</v>
      </c>
      <c r="B20" s="14" t="s">
        <v>229</v>
      </c>
      <c r="C20" s="10" t="s">
        <v>327</v>
      </c>
    </row>
    <row r="21" ht="27.75" customHeight="1">
      <c r="A21" s="13" t="s">
        <v>233</v>
      </c>
      <c r="B21" s="17" t="s">
        <v>235</v>
      </c>
      <c r="C21" s="15" t="s">
        <v>236</v>
      </c>
    </row>
    <row r="22" ht="27.75" customHeight="1">
      <c r="A22" s="8" t="s">
        <v>239</v>
      </c>
      <c r="B22" s="14" t="s">
        <v>332</v>
      </c>
      <c r="C22" s="10" t="s">
        <v>334</v>
      </c>
    </row>
    <row r="23" ht="4.5" customHeight="1"/>
    <row r="24" ht="15.75" customHeight="1">
      <c r="A24" s="3" t="s">
        <v>338</v>
      </c>
      <c r="B24" s="4"/>
      <c r="C24" s="4"/>
      <c r="D24" s="4"/>
      <c r="E24" s="4"/>
      <c r="F24" s="4"/>
      <c r="G24" s="5"/>
    </row>
    <row r="25" ht="180.0" customHeight="1">
      <c r="A25" s="54" t="s">
        <v>356</v>
      </c>
      <c r="B25" s="9"/>
      <c r="C25" s="9"/>
      <c r="D25" s="9"/>
      <c r="E25" s="9"/>
      <c r="F25" s="9"/>
      <c r="G25" s="11"/>
    </row>
    <row r="26" ht="27.75" customHeight="1">
      <c r="A26" s="6" t="s">
        <v>42</v>
      </c>
      <c r="B26" s="6" t="s">
        <v>366</v>
      </c>
      <c r="C26" s="6" t="s">
        <v>369</v>
      </c>
      <c r="D26" s="6" t="s">
        <v>370</v>
      </c>
      <c r="E26" s="6" t="s">
        <v>372</v>
      </c>
      <c r="F26" s="6" t="s">
        <v>373</v>
      </c>
      <c r="G26" s="6" t="s">
        <v>374</v>
      </c>
    </row>
    <row r="27" ht="43.5" customHeight="1">
      <c r="A27" s="13" t="s">
        <v>377</v>
      </c>
      <c r="B27" s="15" t="s">
        <v>349</v>
      </c>
      <c r="C27" s="15" t="s">
        <v>360</v>
      </c>
      <c r="D27" s="15" t="s">
        <v>360</v>
      </c>
      <c r="E27" s="15" t="s">
        <v>379</v>
      </c>
      <c r="F27" s="15" t="s">
        <v>381</v>
      </c>
      <c r="G27" s="43" t="s">
        <v>382</v>
      </c>
    </row>
    <row r="28" ht="43.5" customHeight="1">
      <c r="A28" s="8" t="s">
        <v>386</v>
      </c>
      <c r="B28" s="10" t="s">
        <v>388</v>
      </c>
      <c r="C28" s="10" t="s">
        <v>390</v>
      </c>
      <c r="D28" s="10" t="s">
        <v>390</v>
      </c>
      <c r="E28" s="10" t="s">
        <v>392</v>
      </c>
      <c r="F28" s="10" t="s">
        <v>393</v>
      </c>
      <c r="G28" s="34" t="s">
        <v>395</v>
      </c>
    </row>
    <row r="29" ht="43.5" customHeight="1">
      <c r="A29" s="13" t="s">
        <v>396</v>
      </c>
      <c r="B29" s="15" t="s">
        <v>397</v>
      </c>
      <c r="C29" s="15" t="s">
        <v>399</v>
      </c>
      <c r="D29" s="15" t="s">
        <v>401</v>
      </c>
      <c r="E29" s="15" t="s">
        <v>403</v>
      </c>
      <c r="F29" s="15" t="s">
        <v>404</v>
      </c>
      <c r="G29" s="15" t="s">
        <v>405</v>
      </c>
    </row>
    <row r="30" ht="43.5" customHeight="1">
      <c r="A30" s="56" t="s">
        <v>406</v>
      </c>
      <c r="B30" s="57" t="s">
        <v>407</v>
      </c>
      <c r="C30" s="57" t="s">
        <v>408</v>
      </c>
      <c r="D30" s="57" t="s">
        <v>376</v>
      </c>
      <c r="E30" s="57" t="s">
        <v>409</v>
      </c>
      <c r="F30" s="57" t="s">
        <v>410</v>
      </c>
      <c r="G30" s="47" t="s">
        <v>411</v>
      </c>
    </row>
    <row r="31" ht="43.5" customHeight="1">
      <c r="A31" s="8" t="s">
        <v>412</v>
      </c>
      <c r="B31" s="10" t="s">
        <v>413</v>
      </c>
      <c r="C31" s="10" t="s">
        <v>408</v>
      </c>
      <c r="D31" s="10" t="s">
        <v>389</v>
      </c>
      <c r="E31" s="10" t="s">
        <v>414</v>
      </c>
      <c r="F31" s="10" t="s">
        <v>415</v>
      </c>
      <c r="G31" s="34" t="s">
        <v>416</v>
      </c>
    </row>
    <row r="32" ht="15.75" customHeight="1"/>
    <row r="33" ht="4.5" customHeight="1"/>
    <row r="34" ht="15.75" customHeight="1">
      <c r="A34" s="3" t="s">
        <v>417</v>
      </c>
      <c r="B34" s="4"/>
      <c r="C34" s="4"/>
      <c r="D34" s="4"/>
      <c r="E34" s="4"/>
      <c r="F34" s="4"/>
      <c r="G34" s="5"/>
    </row>
    <row r="35" ht="27.75" customHeight="1">
      <c r="A35" s="6" t="s">
        <v>398</v>
      </c>
      <c r="B35" s="6" t="s">
        <v>421</v>
      </c>
      <c r="C35" s="6" t="s">
        <v>422</v>
      </c>
      <c r="D35" s="6" t="s">
        <v>424</v>
      </c>
      <c r="E35" s="6" t="s">
        <v>425</v>
      </c>
      <c r="F35" s="6" t="s">
        <v>427</v>
      </c>
      <c r="G35" s="6" t="s">
        <v>198</v>
      </c>
    </row>
    <row r="36" ht="15.75" customHeight="1">
      <c r="A36" s="62" t="s">
        <v>429</v>
      </c>
      <c r="B36" s="63">
        <v>8.0</v>
      </c>
      <c r="C36" s="64">
        <v>60000.0</v>
      </c>
      <c r="D36" s="64">
        <v>720000.0</v>
      </c>
      <c r="E36" s="63" t="s">
        <v>436</v>
      </c>
      <c r="F36" s="62" t="s">
        <v>437</v>
      </c>
      <c r="G36" s="65" t="s">
        <v>438</v>
      </c>
    </row>
    <row r="37" ht="15.75" customHeight="1">
      <c r="A37" s="8" t="s">
        <v>441</v>
      </c>
      <c r="B37" s="66">
        <v>20.0</v>
      </c>
      <c r="C37" s="67">
        <v>150000.0</v>
      </c>
      <c r="D37" s="67">
        <v>1800000.0</v>
      </c>
      <c r="E37" s="66" t="s">
        <v>343</v>
      </c>
      <c r="F37" s="8" t="s">
        <v>447</v>
      </c>
      <c r="G37" s="37" t="s">
        <v>450</v>
      </c>
    </row>
    <row r="38" ht="15.75" customHeight="1">
      <c r="A38" s="52" t="s">
        <v>451</v>
      </c>
      <c r="B38" s="46">
        <v>50.0</v>
      </c>
      <c r="C38" s="68">
        <v>375000.0</v>
      </c>
      <c r="D38" s="68">
        <v>4500000.0</v>
      </c>
      <c r="E38" s="46" t="s">
        <v>452</v>
      </c>
      <c r="F38" s="52" t="s">
        <v>453</v>
      </c>
      <c r="G38" s="29" t="s">
        <v>454</v>
      </c>
    </row>
    <row r="39" ht="15.75" customHeight="1"/>
    <row r="40" ht="24.0" customHeight="1">
      <c r="A40" s="49" t="s">
        <v>455</v>
      </c>
    </row>
    <row r="41" ht="15.75" customHeight="1"/>
    <row r="42" ht="15.75" customHeight="1">
      <c r="A42" s="50" t="s">
        <v>398</v>
      </c>
      <c r="B42" s="50" t="s">
        <v>456</v>
      </c>
      <c r="C42" s="50" t="s">
        <v>457</v>
      </c>
    </row>
    <row r="43" ht="15.75" customHeight="1">
      <c r="A43" s="50" t="s">
        <v>429</v>
      </c>
      <c r="B43" s="50">
        <v>60.0</v>
      </c>
      <c r="C43" s="50">
        <v>60.0</v>
      </c>
    </row>
    <row r="44" ht="15.75" customHeight="1">
      <c r="A44" s="50" t="s">
        <v>441</v>
      </c>
      <c r="B44" s="50">
        <v>150.0</v>
      </c>
      <c r="C44" s="50">
        <v>150.0</v>
      </c>
    </row>
    <row r="45" ht="15.75" customHeight="1">
      <c r="A45" s="50" t="s">
        <v>451</v>
      </c>
      <c r="B45" s="50">
        <v>375.0</v>
      </c>
      <c r="C45" s="50">
        <v>375.0</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c r="A64" s="3" t="s">
        <v>458</v>
      </c>
      <c r="B64" s="4"/>
      <c r="C64" s="4"/>
      <c r="D64" s="4"/>
      <c r="E64" s="4"/>
      <c r="F64" s="4"/>
      <c r="G64" s="5"/>
    </row>
    <row r="65" ht="27.75" customHeight="1">
      <c r="A65" s="6" t="s">
        <v>337</v>
      </c>
      <c r="B65" s="6" t="s">
        <v>339</v>
      </c>
      <c r="C65" s="6" t="s">
        <v>340</v>
      </c>
      <c r="D65" s="6" t="s">
        <v>459</v>
      </c>
      <c r="E65" s="6" t="s">
        <v>460</v>
      </c>
      <c r="F65" s="6" t="s">
        <v>461</v>
      </c>
      <c r="G65" s="6" t="s">
        <v>347</v>
      </c>
    </row>
    <row r="66" ht="30.0" customHeight="1">
      <c r="A66" s="13" t="s">
        <v>348</v>
      </c>
      <c r="B66" s="69" t="s">
        <v>349</v>
      </c>
      <c r="C66" s="69" t="s">
        <v>462</v>
      </c>
      <c r="D66" s="70" t="s">
        <v>463</v>
      </c>
      <c r="E66" s="71" t="s">
        <v>359</v>
      </c>
      <c r="F66" s="69" t="s">
        <v>360</v>
      </c>
      <c r="G66" s="69" t="s">
        <v>464</v>
      </c>
    </row>
    <row r="67" ht="30.0" customHeight="1">
      <c r="A67" s="8" t="s">
        <v>363</v>
      </c>
      <c r="B67" s="72" t="s">
        <v>365</v>
      </c>
      <c r="C67" s="72" t="s">
        <v>465</v>
      </c>
      <c r="D67" s="73" t="s">
        <v>466</v>
      </c>
      <c r="E67" s="74" t="s">
        <v>467</v>
      </c>
      <c r="F67" s="72" t="s">
        <v>376</v>
      </c>
      <c r="G67" s="72" t="s">
        <v>468</v>
      </c>
    </row>
    <row r="68" ht="30.0" customHeight="1">
      <c r="A68" s="56" t="s">
        <v>380</v>
      </c>
      <c r="B68" s="75" t="s">
        <v>469</v>
      </c>
      <c r="C68" s="75" t="s">
        <v>470</v>
      </c>
      <c r="D68" s="76" t="s">
        <v>471</v>
      </c>
      <c r="E68" s="77" t="s">
        <v>387</v>
      </c>
      <c r="F68" s="75" t="s">
        <v>389</v>
      </c>
      <c r="G68" s="75" t="s">
        <v>472</v>
      </c>
    </row>
    <row r="69" ht="15.75" customHeight="1">
      <c r="A69" s="13" t="s">
        <v>473</v>
      </c>
      <c r="B69" s="78">
        <v>55.0</v>
      </c>
      <c r="C69" s="79">
        <v>130.0</v>
      </c>
      <c r="D69" s="80">
        <v>320.0</v>
      </c>
      <c r="E69" s="81">
        <v>60.0</v>
      </c>
      <c r="F69" s="80">
        <v>150.0</v>
      </c>
      <c r="G69" s="82">
        <v>375.0</v>
      </c>
    </row>
    <row r="70" ht="4.5" customHeight="1">
      <c r="A70" s="8" t="s">
        <v>474</v>
      </c>
      <c r="B70" s="83">
        <v>60.0</v>
      </c>
      <c r="C70" s="84">
        <v>150.0</v>
      </c>
      <c r="D70" s="85">
        <v>375.0</v>
      </c>
      <c r="E70" s="81">
        <v>60.0</v>
      </c>
      <c r="F70" s="80">
        <v>150.0</v>
      </c>
      <c r="G70" s="82">
        <v>375.0</v>
      </c>
    </row>
    <row r="71" ht="15.75" customHeight="1">
      <c r="A71" s="3" t="s">
        <v>475</v>
      </c>
      <c r="B71" s="4"/>
      <c r="C71" s="4"/>
      <c r="D71" s="4"/>
      <c r="E71" s="4"/>
      <c r="F71" s="4"/>
      <c r="G71" s="5"/>
    </row>
    <row r="72" ht="27.75" customHeight="1">
      <c r="A72" s="6" t="s">
        <v>476</v>
      </c>
      <c r="B72" s="6" t="s">
        <v>429</v>
      </c>
      <c r="C72" s="6" t="s">
        <v>477</v>
      </c>
      <c r="D72" s="6" t="s">
        <v>451</v>
      </c>
      <c r="E72" s="6" t="s">
        <v>478</v>
      </c>
      <c r="F72" s="6" t="s">
        <v>479</v>
      </c>
    </row>
    <row r="73" ht="19.5" customHeight="1">
      <c r="A73" s="13" t="s">
        <v>480</v>
      </c>
      <c r="B73" s="86" t="s">
        <v>283</v>
      </c>
      <c r="C73" s="32" t="s">
        <v>283</v>
      </c>
      <c r="D73" s="46" t="s">
        <v>481</v>
      </c>
      <c r="E73" s="16" t="s">
        <v>481</v>
      </c>
      <c r="F73" s="16" t="s">
        <v>23</v>
      </c>
    </row>
    <row r="74" ht="19.5" customHeight="1">
      <c r="A74" s="8" t="s">
        <v>482</v>
      </c>
      <c r="B74" s="87" t="s">
        <v>483</v>
      </c>
      <c r="C74" s="32" t="s">
        <v>283</v>
      </c>
      <c r="D74" s="30" t="s">
        <v>481</v>
      </c>
      <c r="E74" s="12" t="s">
        <v>484</v>
      </c>
      <c r="F74" s="12" t="s">
        <v>23</v>
      </c>
    </row>
    <row r="75" ht="19.5" customHeight="1">
      <c r="A75" s="13" t="s">
        <v>422</v>
      </c>
      <c r="B75" s="86" t="s">
        <v>485</v>
      </c>
      <c r="C75" s="32" t="s">
        <v>486</v>
      </c>
      <c r="D75" s="46" t="s">
        <v>487</v>
      </c>
      <c r="E75" s="16" t="s">
        <v>23</v>
      </c>
      <c r="F75" s="16" t="s">
        <v>23</v>
      </c>
    </row>
    <row r="76" ht="19.5" customHeight="1">
      <c r="A76" s="8" t="s">
        <v>424</v>
      </c>
      <c r="B76" s="87" t="s">
        <v>488</v>
      </c>
      <c r="C76" s="32" t="s">
        <v>489</v>
      </c>
      <c r="D76" s="30" t="s">
        <v>490</v>
      </c>
      <c r="E76" s="12" t="s">
        <v>491</v>
      </c>
      <c r="F76" s="12" t="s">
        <v>492</v>
      </c>
    </row>
    <row r="77" ht="19.5" customHeight="1">
      <c r="A77" s="13" t="s">
        <v>425</v>
      </c>
      <c r="B77" s="86" t="s">
        <v>493</v>
      </c>
      <c r="C77" s="32" t="s">
        <v>494</v>
      </c>
      <c r="D77" s="46" t="s">
        <v>495</v>
      </c>
      <c r="E77" s="16" t="s">
        <v>23</v>
      </c>
      <c r="F77" s="16" t="s">
        <v>23</v>
      </c>
    </row>
    <row r="78" ht="19.5" customHeight="1">
      <c r="A78" s="8" t="s">
        <v>333</v>
      </c>
      <c r="B78" s="87" t="s">
        <v>496</v>
      </c>
      <c r="C78" s="32" t="s">
        <v>496</v>
      </c>
      <c r="D78" s="30" t="s">
        <v>496</v>
      </c>
      <c r="E78" s="12" t="s">
        <v>23</v>
      </c>
      <c r="F78" s="12" t="s">
        <v>23</v>
      </c>
    </row>
    <row r="79" ht="19.5" customHeight="1">
      <c r="A79" s="56" t="s">
        <v>497</v>
      </c>
      <c r="B79" s="63" t="s">
        <v>498</v>
      </c>
      <c r="C79" s="32" t="s">
        <v>499</v>
      </c>
      <c r="D79" s="88" t="s">
        <v>500</v>
      </c>
      <c r="E79" s="89" t="s">
        <v>23</v>
      </c>
      <c r="F79" s="89" t="s">
        <v>23</v>
      </c>
    </row>
    <row r="80" ht="15.75" customHeight="1"/>
    <row r="81" ht="24.0" customHeight="1">
      <c r="A81" s="49" t="s">
        <v>501</v>
      </c>
    </row>
    <row r="82" ht="15.75" customHeight="1"/>
    <row r="83" ht="4.5" customHeight="1"/>
    <row r="84" ht="15.75" customHeight="1">
      <c r="A84" s="3" t="s">
        <v>502</v>
      </c>
      <c r="B84" s="4"/>
      <c r="C84" s="4"/>
      <c r="D84" s="4"/>
      <c r="E84" s="4"/>
      <c r="F84" s="4"/>
      <c r="G84" s="5"/>
    </row>
    <row r="85" ht="27.75" customHeight="1">
      <c r="A85" s="6" t="s">
        <v>19</v>
      </c>
      <c r="B85" s="6" t="s">
        <v>503</v>
      </c>
      <c r="C85" s="6" t="s">
        <v>505</v>
      </c>
      <c r="D85" s="6"/>
      <c r="E85" s="6"/>
      <c r="F85" s="6"/>
      <c r="G85" s="6"/>
    </row>
    <row r="86" ht="19.5" customHeight="1">
      <c r="A86" s="13" t="s">
        <v>506</v>
      </c>
      <c r="B86" s="15" t="s">
        <v>507</v>
      </c>
      <c r="C86" s="90" t="str">
        <f>HYPERLINK("https://www.novaoneadvisor.com/report/us-leather-goods-market","https://www.novaoneadvisor.com/report/us-leather-goods-market")</f>
        <v>https://www.novaoneadvisor.com/report/us-leather-goods-market</v>
      </c>
      <c r="D86" s="9"/>
      <c r="E86" s="9"/>
      <c r="F86" s="9"/>
      <c r="G86" s="11"/>
    </row>
    <row r="87" ht="19.5" customHeight="1">
      <c r="A87" s="8" t="s">
        <v>516</v>
      </c>
      <c r="B87" s="10" t="s">
        <v>517</v>
      </c>
      <c r="C87" s="91" t="str">
        <f>HYPERLINK("https://www.accio.com/business/amazon-mens-wallet-best-seller","https://www.accio.com/business/amazon-mens-wallet-best-seller")</f>
        <v>https://www.accio.com/business/amazon-mens-wallet-best-seller</v>
      </c>
      <c r="D87" s="9"/>
      <c r="E87" s="9"/>
      <c r="F87" s="9"/>
      <c r="G87" s="11"/>
    </row>
    <row r="88" ht="19.5" customHeight="1">
      <c r="A88" s="13" t="s">
        <v>526</v>
      </c>
      <c r="B88" s="15" t="s">
        <v>527</v>
      </c>
      <c r="C88" s="90" t="str">
        <f>HYPERLINK("https://erank.com","https://erank.com")</f>
        <v>https://erank.com</v>
      </c>
      <c r="D88" s="9"/>
      <c r="E88" s="9"/>
      <c r="F88" s="9"/>
      <c r="G88" s="11"/>
    </row>
    <row r="89" ht="19.5" customHeight="1">
      <c r="A89" s="8" t="s">
        <v>532</v>
      </c>
      <c r="B89" s="10" t="s">
        <v>534</v>
      </c>
      <c r="C89" s="91" t="str">
        <f>HYPERLINK("https://shelftrend.com","https://shelftrend.com")</f>
        <v>https://shelftrend.com</v>
      </c>
      <c r="D89" s="9"/>
      <c r="E89" s="9"/>
      <c r="F89" s="9"/>
      <c r="G89" s="11"/>
    </row>
    <row r="90" ht="19.5" customHeight="1">
      <c r="A90" s="13" t="s">
        <v>539</v>
      </c>
      <c r="B90" s="15" t="s">
        <v>541</v>
      </c>
      <c r="C90" s="90" t="str">
        <f>HYPERLINK("https://help.shopify.com/en/manual/products/details/product-type","https://help.shopify.com/en/manual/products/details/product-type")</f>
        <v>https://help.shopify.com/en/manual/products/details/product-type</v>
      </c>
      <c r="D90" s="9"/>
      <c r="E90" s="9"/>
      <c r="F90" s="9"/>
      <c r="G90" s="11"/>
    </row>
    <row r="91" ht="19.5" customHeight="1">
      <c r="A91" s="8" t="s">
        <v>545</v>
      </c>
      <c r="B91" s="10" t="s">
        <v>546</v>
      </c>
      <c r="C91" s="91" t="str">
        <f>HYPERLINK("https://www.ftc.gov/legal-library/browse/rules/guides-use-word-leather","https://www.ftc.gov/legal-library/browse/rules/guides-use-word-leather")</f>
        <v>https://www.ftc.gov/legal-library/browse/rules/guides-use-word-leather</v>
      </c>
      <c r="D91" s="9"/>
      <c r="E91" s="9"/>
      <c r="F91" s="9"/>
      <c r="G91" s="11"/>
    </row>
    <row r="92" ht="19.5" customHeight="1">
      <c r="A92" s="13" t="s">
        <v>552</v>
      </c>
      <c r="B92" s="15" t="s">
        <v>553</v>
      </c>
      <c r="C92" s="90" t="str">
        <f>HYPERLINK("https://printkk.com","https://printkk.com")</f>
        <v>https://printkk.com</v>
      </c>
      <c r="D92" s="9"/>
      <c r="E92" s="9"/>
      <c r="F92" s="9"/>
      <c r="G92" s="11"/>
    </row>
    <row r="93" ht="19.5" customHeight="1">
      <c r="A93" s="8" t="s">
        <v>556</v>
      </c>
      <c r="B93" s="10" t="s">
        <v>558</v>
      </c>
      <c r="C93" s="91" t="str">
        <f>HYPERLINK("https://github.com/elenacastan-maker/fyul-pm-interview-prep","https://github.com/elenacastan-maker/fyul-pm-interview-prep")</f>
        <v>https://github.com/elenacastan-maker/fyul-pm-interview-prep</v>
      </c>
      <c r="D93" s="9"/>
      <c r="E93" s="9"/>
      <c r="F93" s="9"/>
      <c r="G93" s="11"/>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G1"/>
    <mergeCell ref="A2:G2"/>
    <mergeCell ref="A3:G3"/>
    <mergeCell ref="A4:G4"/>
    <mergeCell ref="A6:G6"/>
    <mergeCell ref="A13:G13"/>
    <mergeCell ref="A15:G15"/>
    <mergeCell ref="A24:G24"/>
    <mergeCell ref="A25:G25"/>
    <mergeCell ref="A34:G34"/>
    <mergeCell ref="A40:G40"/>
    <mergeCell ref="A64:G64"/>
    <mergeCell ref="A71:G71"/>
    <mergeCell ref="A81:G81"/>
    <mergeCell ref="C92:G92"/>
    <mergeCell ref="C93:G93"/>
    <mergeCell ref="A84:G84"/>
    <mergeCell ref="C86:G86"/>
    <mergeCell ref="C87:G87"/>
    <mergeCell ref="C88:G88"/>
    <mergeCell ref="C89:G89"/>
    <mergeCell ref="C90:G90"/>
    <mergeCell ref="C91:G9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3" width="16.0"/>
    <col customWidth="1" min="4" max="4" width="14.0"/>
    <col customWidth="1" min="5" max="5" width="16.0"/>
    <col customWidth="1" min="6" max="6" width="38.0"/>
    <col customWidth="1" min="7" max="7" width="10.0"/>
    <col customWidth="1" min="8" max="8" width="12.0"/>
    <col customWidth="1" min="9" max="26" width="8.71"/>
  </cols>
  <sheetData>
    <row r="1" ht="15.75" customHeight="1">
      <c r="A1" s="3" t="s">
        <v>504</v>
      </c>
      <c r="B1" s="4"/>
      <c r="C1" s="4"/>
      <c r="D1" s="4"/>
      <c r="E1" s="4"/>
      <c r="F1" s="4"/>
      <c r="G1" s="4"/>
      <c r="H1" s="5"/>
    </row>
    <row r="2" ht="4.5" customHeight="1"/>
    <row r="3" ht="15.75" customHeight="1">
      <c r="A3" s="3" t="s">
        <v>508</v>
      </c>
      <c r="B3" s="4"/>
      <c r="C3" s="4"/>
      <c r="D3" s="4"/>
      <c r="E3" s="4"/>
      <c r="F3" s="4"/>
      <c r="G3" s="4"/>
      <c r="H3" s="5"/>
    </row>
    <row r="4" ht="27.75" customHeight="1">
      <c r="A4" s="6" t="s">
        <v>509</v>
      </c>
      <c r="B4" s="6" t="s">
        <v>510</v>
      </c>
      <c r="C4" s="6" t="s">
        <v>511</v>
      </c>
      <c r="D4" s="6" t="s">
        <v>512</v>
      </c>
      <c r="E4" s="6" t="s">
        <v>513</v>
      </c>
      <c r="F4" s="6" t="s">
        <v>514</v>
      </c>
      <c r="G4" s="6" t="s">
        <v>515</v>
      </c>
      <c r="H4" s="6" t="s">
        <v>155</v>
      </c>
    </row>
    <row r="5">
      <c r="A5" s="13" t="s">
        <v>518</v>
      </c>
      <c r="B5" s="86" t="s">
        <v>519</v>
      </c>
      <c r="C5" s="46" t="s">
        <v>520</v>
      </c>
      <c r="D5" s="86" t="s">
        <v>521</v>
      </c>
      <c r="E5" s="86" t="s">
        <v>521</v>
      </c>
      <c r="F5" s="86" t="s">
        <v>521</v>
      </c>
      <c r="G5" s="86" t="s">
        <v>521</v>
      </c>
      <c r="H5" s="86" t="s">
        <v>522</v>
      </c>
    </row>
    <row r="6">
      <c r="A6" s="8" t="s">
        <v>523</v>
      </c>
      <c r="B6" s="30" t="s">
        <v>524</v>
      </c>
      <c r="C6" s="46" t="s">
        <v>525</v>
      </c>
      <c r="D6" s="30" t="s">
        <v>525</v>
      </c>
      <c r="E6" s="30" t="s">
        <v>525</v>
      </c>
      <c r="F6" s="30" t="s">
        <v>525</v>
      </c>
      <c r="G6" s="30" t="s">
        <v>525</v>
      </c>
      <c r="H6" s="30" t="s">
        <v>525</v>
      </c>
    </row>
    <row r="7">
      <c r="A7" s="13" t="s">
        <v>528</v>
      </c>
      <c r="B7" s="86" t="s">
        <v>521</v>
      </c>
      <c r="C7" s="46" t="s">
        <v>529</v>
      </c>
      <c r="D7" s="86" t="s">
        <v>521</v>
      </c>
      <c r="E7" s="86" t="s">
        <v>521</v>
      </c>
      <c r="F7" s="86" t="s">
        <v>521</v>
      </c>
      <c r="G7" s="86" t="s">
        <v>521</v>
      </c>
      <c r="H7" s="86" t="s">
        <v>521</v>
      </c>
    </row>
    <row r="8">
      <c r="A8" s="8" t="s">
        <v>530</v>
      </c>
      <c r="B8" s="87" t="s">
        <v>521</v>
      </c>
      <c r="C8" s="46" t="s">
        <v>531</v>
      </c>
      <c r="D8" s="87" t="s">
        <v>521</v>
      </c>
      <c r="E8" s="87" t="s">
        <v>521</v>
      </c>
      <c r="F8" s="87" t="s">
        <v>521</v>
      </c>
      <c r="G8" s="87" t="s">
        <v>521</v>
      </c>
      <c r="H8" s="87" t="s">
        <v>521</v>
      </c>
    </row>
    <row r="9">
      <c r="A9" s="13" t="s">
        <v>533</v>
      </c>
      <c r="B9" s="86" t="s">
        <v>521</v>
      </c>
      <c r="C9" s="46" t="s">
        <v>535</v>
      </c>
      <c r="D9" s="86" t="s">
        <v>521</v>
      </c>
      <c r="E9" s="86" t="s">
        <v>521</v>
      </c>
      <c r="F9" s="86" t="s">
        <v>521</v>
      </c>
      <c r="G9" s="86" t="s">
        <v>521</v>
      </c>
      <c r="H9" s="46" t="s">
        <v>525</v>
      </c>
    </row>
    <row r="10">
      <c r="A10" s="8" t="s">
        <v>536</v>
      </c>
      <c r="B10" s="87" t="s">
        <v>521</v>
      </c>
      <c r="C10" s="46" t="s">
        <v>535</v>
      </c>
      <c r="D10" s="87" t="s">
        <v>521</v>
      </c>
      <c r="E10" s="87" t="s">
        <v>521</v>
      </c>
      <c r="F10" s="87" t="s">
        <v>521</v>
      </c>
      <c r="G10" s="87" t="s">
        <v>521</v>
      </c>
      <c r="H10" s="87" t="s">
        <v>537</v>
      </c>
    </row>
    <row r="11">
      <c r="A11" s="13" t="s">
        <v>538</v>
      </c>
      <c r="B11" s="86" t="s">
        <v>521</v>
      </c>
      <c r="C11" s="46" t="s">
        <v>540</v>
      </c>
      <c r="D11" s="46" t="s">
        <v>525</v>
      </c>
      <c r="E11" s="86" t="s">
        <v>521</v>
      </c>
      <c r="F11" s="86" t="s">
        <v>521</v>
      </c>
      <c r="G11" s="86" t="s">
        <v>521</v>
      </c>
      <c r="H11" s="86" t="s">
        <v>542</v>
      </c>
    </row>
    <row r="12">
      <c r="A12" s="8" t="s">
        <v>543</v>
      </c>
      <c r="B12" s="87" t="s">
        <v>521</v>
      </c>
      <c r="C12" s="46" t="s">
        <v>540</v>
      </c>
      <c r="D12" s="87" t="s">
        <v>521</v>
      </c>
      <c r="E12" s="87" t="s">
        <v>521</v>
      </c>
      <c r="F12" s="87" t="s">
        <v>521</v>
      </c>
      <c r="G12" s="87" t="s">
        <v>521</v>
      </c>
      <c r="H12" s="87" t="s">
        <v>521</v>
      </c>
    </row>
    <row r="13">
      <c r="A13" s="13" t="s">
        <v>544</v>
      </c>
      <c r="B13" s="86" t="s">
        <v>521</v>
      </c>
      <c r="C13" s="46" t="s">
        <v>540</v>
      </c>
      <c r="D13" s="86" t="s">
        <v>521</v>
      </c>
      <c r="E13" s="86" t="s">
        <v>521</v>
      </c>
      <c r="F13" s="86" t="s">
        <v>521</v>
      </c>
      <c r="G13" s="86" t="s">
        <v>521</v>
      </c>
      <c r="H13" s="86" t="s">
        <v>521</v>
      </c>
    </row>
    <row r="14">
      <c r="A14" s="8" t="s">
        <v>547</v>
      </c>
      <c r="B14" s="87" t="s">
        <v>521</v>
      </c>
      <c r="C14" s="46" t="s">
        <v>548</v>
      </c>
      <c r="D14" s="87" t="s">
        <v>521</v>
      </c>
      <c r="E14" s="87" t="s">
        <v>521</v>
      </c>
      <c r="F14" s="87" t="s">
        <v>521</v>
      </c>
      <c r="G14" s="87" t="s">
        <v>521</v>
      </c>
      <c r="H14" s="87" t="s">
        <v>521</v>
      </c>
    </row>
    <row r="15">
      <c r="A15" s="13" t="s">
        <v>549</v>
      </c>
      <c r="B15" s="86" t="s">
        <v>521</v>
      </c>
      <c r="C15" s="46" t="s">
        <v>548</v>
      </c>
      <c r="D15" s="46" t="s">
        <v>525</v>
      </c>
      <c r="E15" s="86" t="s">
        <v>550</v>
      </c>
      <c r="F15" s="86" t="s">
        <v>521</v>
      </c>
      <c r="G15" s="86" t="s">
        <v>521</v>
      </c>
      <c r="H15" s="86" t="s">
        <v>521</v>
      </c>
    </row>
    <row r="16">
      <c r="A16" s="8" t="s">
        <v>551</v>
      </c>
      <c r="B16" s="87" t="s">
        <v>521</v>
      </c>
      <c r="C16" s="92" t="s">
        <v>554</v>
      </c>
      <c r="D16" s="87" t="s">
        <v>521</v>
      </c>
      <c r="E16" s="87" t="s">
        <v>521</v>
      </c>
      <c r="F16" s="87" t="s">
        <v>521</v>
      </c>
      <c r="G16" s="87" t="s">
        <v>521</v>
      </c>
      <c r="H16" s="87" t="s">
        <v>521</v>
      </c>
    </row>
    <row r="17">
      <c r="A17" s="13" t="s">
        <v>555</v>
      </c>
      <c r="B17" s="86" t="s">
        <v>557</v>
      </c>
      <c r="C17" s="46" t="s">
        <v>548</v>
      </c>
      <c r="D17" s="46" t="s">
        <v>525</v>
      </c>
      <c r="E17" s="46" t="s">
        <v>525</v>
      </c>
      <c r="F17" s="86" t="s">
        <v>550</v>
      </c>
      <c r="G17" s="86" t="s">
        <v>521</v>
      </c>
      <c r="H17" s="86" t="s">
        <v>521</v>
      </c>
    </row>
    <row r="19" ht="4.5" customHeight="1"/>
    <row r="20" ht="15.75" customHeight="1">
      <c r="A20" s="3" t="s">
        <v>559</v>
      </c>
      <c r="B20" s="4"/>
      <c r="C20" s="4"/>
      <c r="D20" s="4"/>
      <c r="E20" s="4"/>
      <c r="F20" s="4"/>
      <c r="G20" s="4"/>
      <c r="H20" s="5"/>
    </row>
    <row r="21" ht="27.75" customHeight="1">
      <c r="A21" s="6" t="s">
        <v>560</v>
      </c>
      <c r="B21" s="6" t="s">
        <v>561</v>
      </c>
      <c r="C21" s="6" t="s">
        <v>562</v>
      </c>
      <c r="D21" s="6" t="s">
        <v>563</v>
      </c>
      <c r="E21" s="6" t="s">
        <v>564</v>
      </c>
      <c r="F21" s="6" t="s">
        <v>565</v>
      </c>
    </row>
    <row r="22" ht="15.75" customHeight="1">
      <c r="A22" s="8" t="s">
        <v>513</v>
      </c>
      <c r="B22" s="10" t="s">
        <v>566</v>
      </c>
      <c r="C22" s="10" t="s">
        <v>566</v>
      </c>
      <c r="D22" s="10" t="s">
        <v>566</v>
      </c>
      <c r="E22" s="55" t="s">
        <v>183</v>
      </c>
      <c r="F22" s="10" t="s">
        <v>567</v>
      </c>
    </row>
    <row r="23" ht="15.75" customHeight="1">
      <c r="A23" s="13" t="s">
        <v>514</v>
      </c>
      <c r="B23" s="15" t="s">
        <v>566</v>
      </c>
      <c r="C23" s="15" t="s">
        <v>566</v>
      </c>
      <c r="D23" s="15" t="s">
        <v>566</v>
      </c>
      <c r="E23" s="53" t="s">
        <v>183</v>
      </c>
      <c r="F23" s="15" t="s">
        <v>568</v>
      </c>
    </row>
    <row r="24" ht="15.75" customHeight="1">
      <c r="A24" s="8" t="s">
        <v>515</v>
      </c>
      <c r="B24" s="10" t="s">
        <v>566</v>
      </c>
      <c r="C24" s="10" t="s">
        <v>566</v>
      </c>
      <c r="D24" s="10" t="s">
        <v>566</v>
      </c>
      <c r="E24" s="55" t="s">
        <v>183</v>
      </c>
      <c r="F24" s="10" t="s">
        <v>569</v>
      </c>
    </row>
    <row r="25" ht="15.75" customHeight="1">
      <c r="A25" s="56" t="s">
        <v>512</v>
      </c>
      <c r="B25" s="57" t="s">
        <v>570</v>
      </c>
      <c r="C25" s="57" t="s">
        <v>566</v>
      </c>
      <c r="D25" s="57" t="s">
        <v>566</v>
      </c>
      <c r="E25" s="47" t="s">
        <v>48</v>
      </c>
      <c r="F25" s="57" t="s">
        <v>571</v>
      </c>
    </row>
    <row r="26" ht="15.75" customHeight="1">
      <c r="A26" s="56" t="s">
        <v>155</v>
      </c>
      <c r="B26" s="57" t="s">
        <v>572</v>
      </c>
      <c r="C26" s="57" t="s">
        <v>566</v>
      </c>
      <c r="D26" s="57" t="s">
        <v>566</v>
      </c>
      <c r="E26" s="47" t="s">
        <v>573</v>
      </c>
      <c r="F26" s="57" t="s">
        <v>574</v>
      </c>
    </row>
    <row r="27" ht="15.75" customHeight="1">
      <c r="A27" s="13" t="s">
        <v>575</v>
      </c>
      <c r="B27" s="15" t="s">
        <v>576</v>
      </c>
      <c r="C27" s="15" t="s">
        <v>566</v>
      </c>
      <c r="D27" s="15" t="s">
        <v>566</v>
      </c>
      <c r="E27" s="15" t="s">
        <v>577</v>
      </c>
      <c r="F27" s="15" t="s">
        <v>578</v>
      </c>
    </row>
    <row r="28" ht="15.75" customHeight="1"/>
    <row r="29" ht="24.0" customHeight="1">
      <c r="A29" s="49" t="s">
        <v>579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3:H3"/>
    <mergeCell ref="A20:H20"/>
    <mergeCell ref="A29:H29"/>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28.0"/>
    <col customWidth="1" min="3" max="3" width="24.0"/>
    <col customWidth="1" min="4" max="4" width="20.0"/>
    <col customWidth="1" min="5" max="5" width="24.0"/>
    <col customWidth="1" min="6" max="6" width="12.0"/>
    <col customWidth="1" min="7" max="7" width="13.86"/>
    <col customWidth="1" min="8" max="26" width="3.86"/>
  </cols>
  <sheetData>
    <row r="1" ht="15.75" customHeight="1">
      <c r="A1" s="3" t="s">
        <v>592</v>
      </c>
      <c r="B1" s="4"/>
      <c r="C1" s="4"/>
      <c r="D1" s="4"/>
      <c r="E1" s="4"/>
      <c r="F1" s="4"/>
      <c r="G1" s="5"/>
    </row>
    <row r="2" ht="4.5" customHeight="1"/>
    <row r="3" ht="15.75" customHeight="1">
      <c r="A3" s="3" t="s">
        <v>597</v>
      </c>
      <c r="B3" s="4"/>
      <c r="C3" s="4"/>
      <c r="D3" s="4"/>
      <c r="E3" s="4"/>
      <c r="F3" s="4"/>
      <c r="G3" s="5"/>
    </row>
    <row r="4" ht="27.75" customHeight="1">
      <c r="A4" s="6" t="s">
        <v>42</v>
      </c>
      <c r="B4" s="6" t="s">
        <v>605</v>
      </c>
      <c r="C4" s="6" t="s">
        <v>369</v>
      </c>
      <c r="D4" s="6" t="s">
        <v>370</v>
      </c>
      <c r="E4" s="6" t="s">
        <v>609</v>
      </c>
      <c r="F4" s="6" t="s">
        <v>611</v>
      </c>
      <c r="G4" s="6" t="s">
        <v>612</v>
      </c>
    </row>
    <row r="5" ht="51.75" customHeight="1">
      <c r="A5" s="13" t="s">
        <v>377</v>
      </c>
      <c r="B5" s="15" t="s">
        <v>349</v>
      </c>
      <c r="C5" s="15" t="s">
        <v>360</v>
      </c>
      <c r="D5" s="15" t="s">
        <v>360</v>
      </c>
      <c r="E5" s="15" t="s">
        <v>379</v>
      </c>
      <c r="F5" s="15" t="s">
        <v>381</v>
      </c>
      <c r="G5" s="15"/>
    </row>
    <row r="6" ht="51.75" customHeight="1">
      <c r="A6" s="8" t="s">
        <v>386</v>
      </c>
      <c r="B6" s="10" t="s">
        <v>388</v>
      </c>
      <c r="C6" s="10" t="s">
        <v>390</v>
      </c>
      <c r="D6" s="10" t="s">
        <v>390</v>
      </c>
      <c r="E6" s="10" t="s">
        <v>627</v>
      </c>
      <c r="F6" s="10" t="s">
        <v>393</v>
      </c>
      <c r="G6" s="10"/>
    </row>
    <row r="7" ht="51.75" customHeight="1">
      <c r="A7" s="13" t="s">
        <v>396</v>
      </c>
      <c r="B7" s="15" t="s">
        <v>397</v>
      </c>
      <c r="C7" s="15" t="s">
        <v>399</v>
      </c>
      <c r="D7" s="15" t="s">
        <v>401</v>
      </c>
      <c r="E7" s="15" t="s">
        <v>642</v>
      </c>
      <c r="F7" s="15" t="s">
        <v>644</v>
      </c>
      <c r="G7" s="15"/>
    </row>
    <row r="8" ht="51.75" customHeight="1">
      <c r="A8" s="56" t="s">
        <v>406</v>
      </c>
      <c r="B8" s="57" t="s">
        <v>407</v>
      </c>
      <c r="C8" s="57" t="s">
        <v>408</v>
      </c>
      <c r="D8" s="57" t="s">
        <v>376</v>
      </c>
      <c r="E8" s="57" t="s">
        <v>650</v>
      </c>
      <c r="F8" s="57" t="s">
        <v>652</v>
      </c>
      <c r="G8" s="47" t="s">
        <v>657</v>
      </c>
    </row>
    <row r="9" ht="51.75" customHeight="1">
      <c r="A9" s="8" t="s">
        <v>412</v>
      </c>
      <c r="B9" s="10" t="s">
        <v>413</v>
      </c>
      <c r="C9" s="10" t="s">
        <v>408</v>
      </c>
      <c r="D9" s="10" t="s">
        <v>389</v>
      </c>
      <c r="E9" s="10" t="s">
        <v>663</v>
      </c>
      <c r="F9" s="34" t="s">
        <v>664</v>
      </c>
      <c r="G9" s="10" t="s">
        <v>665</v>
      </c>
    </row>
    <row r="11" ht="4.5" customHeight="1"/>
    <row r="12" ht="15.75" customHeight="1">
      <c r="A12" s="3" t="s">
        <v>671</v>
      </c>
      <c r="B12" s="4"/>
      <c r="C12" s="4"/>
      <c r="D12" s="4"/>
      <c r="E12" s="4"/>
      <c r="F12" s="4"/>
      <c r="G12" s="5"/>
    </row>
    <row r="13">
      <c r="A13" s="94" t="s">
        <v>42</v>
      </c>
      <c r="B13" s="96" t="s">
        <v>349</v>
      </c>
      <c r="C13" s="96" t="s">
        <v>682</v>
      </c>
      <c r="D13" s="96" t="s">
        <v>683</v>
      </c>
      <c r="E13" s="96" t="s">
        <v>684</v>
      </c>
      <c r="F13" s="96" t="s">
        <v>686</v>
      </c>
      <c r="G13" s="96" t="s">
        <v>687</v>
      </c>
      <c r="H13" s="96" t="s">
        <v>688</v>
      </c>
      <c r="I13" s="96" t="s">
        <v>689</v>
      </c>
      <c r="J13" s="96" t="s">
        <v>690</v>
      </c>
      <c r="K13" s="96" t="s">
        <v>691</v>
      </c>
      <c r="L13" s="96" t="s">
        <v>692</v>
      </c>
      <c r="M13" s="96" t="s">
        <v>693</v>
      </c>
      <c r="N13" s="96" t="s">
        <v>694</v>
      </c>
      <c r="O13" s="96" t="s">
        <v>695</v>
      </c>
      <c r="P13" s="96" t="s">
        <v>696</v>
      </c>
      <c r="Q13" s="96" t="s">
        <v>697</v>
      </c>
      <c r="R13" s="96" t="s">
        <v>365</v>
      </c>
      <c r="S13" s="96" t="s">
        <v>698</v>
      </c>
      <c r="T13" s="96" t="s">
        <v>699</v>
      </c>
      <c r="U13" s="96" t="s">
        <v>700</v>
      </c>
      <c r="V13" s="96" t="s">
        <v>701</v>
      </c>
      <c r="W13" s="96" t="s">
        <v>703</v>
      </c>
      <c r="X13" s="96" t="s">
        <v>704</v>
      </c>
      <c r="Y13" s="96" t="s">
        <v>705</v>
      </c>
      <c r="Z13" s="96" t="s">
        <v>706</v>
      </c>
    </row>
    <row r="14" ht="15.75" customHeight="1">
      <c r="A14" s="97" t="s">
        <v>377</v>
      </c>
      <c r="B14" s="98"/>
    </row>
    <row r="15" ht="15.75" customHeight="1">
      <c r="A15" s="97" t="s">
        <v>386</v>
      </c>
      <c r="C15" s="99"/>
      <c r="D15" s="99"/>
    </row>
    <row r="16" ht="15.75" customHeight="1">
      <c r="A16" s="97" t="s">
        <v>396</v>
      </c>
      <c r="E16" s="100"/>
      <c r="F16" s="100"/>
      <c r="G16" s="100"/>
      <c r="H16" s="100"/>
      <c r="I16" s="100"/>
      <c r="J16" s="100"/>
    </row>
    <row r="17" ht="15.75" customHeight="1">
      <c r="A17" s="97" t="s">
        <v>406</v>
      </c>
      <c r="K17" s="101"/>
      <c r="L17" s="101"/>
      <c r="M17" s="101"/>
      <c r="N17" s="101"/>
      <c r="O17" s="101"/>
      <c r="P17" s="101"/>
      <c r="Q17" s="101"/>
      <c r="R17" s="101"/>
    </row>
    <row r="18" ht="15.75" customHeight="1">
      <c r="A18" s="97" t="s">
        <v>412</v>
      </c>
      <c r="S18" s="102"/>
      <c r="T18" s="102"/>
      <c r="U18" s="102"/>
      <c r="V18" s="102"/>
      <c r="W18" s="102"/>
      <c r="X18" s="102"/>
      <c r="Y18" s="102"/>
      <c r="Z18" s="102"/>
    </row>
    <row r="21" ht="15.75" customHeight="1">
      <c r="A21" s="50" t="s">
        <v>42</v>
      </c>
      <c r="B21" s="50" t="s">
        <v>716</v>
      </c>
      <c r="C21" s="50" t="s">
        <v>717</v>
      </c>
    </row>
    <row r="22" ht="15.75" customHeight="1">
      <c r="A22" s="50" t="s">
        <v>377</v>
      </c>
      <c r="B22" s="50">
        <v>0.0</v>
      </c>
      <c r="C22" s="50">
        <v>0.0</v>
      </c>
    </row>
    <row r="23" ht="15.75" customHeight="1">
      <c r="A23" s="50" t="s">
        <v>386</v>
      </c>
      <c r="B23" s="50">
        <v>20.0</v>
      </c>
      <c r="C23" s="50">
        <v>20.0</v>
      </c>
    </row>
    <row r="24" ht="15.75" customHeight="1">
      <c r="A24" s="50" t="s">
        <v>124</v>
      </c>
      <c r="B24" s="50">
        <v>80.0</v>
      </c>
      <c r="C24" s="50">
        <v>100.0</v>
      </c>
    </row>
    <row r="25" ht="15.75" customHeight="1">
      <c r="A25" s="50" t="s">
        <v>70</v>
      </c>
      <c r="B25" s="50">
        <v>120.0</v>
      </c>
      <c r="C25" s="50">
        <v>220.0</v>
      </c>
    </row>
    <row r="26" ht="15.75" customHeight="1">
      <c r="A26" s="50" t="s">
        <v>727</v>
      </c>
      <c r="B26" s="50">
        <v>120.0</v>
      </c>
      <c r="C26" s="50">
        <v>340.0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c r="A47" s="3" t="s">
        <v>760</v>
      </c>
      <c r="B47" s="4"/>
      <c r="C47" s="4"/>
      <c r="D47" s="4"/>
      <c r="E47" s="4"/>
      <c r="F47" s="4"/>
      <c r="G47" s="5"/>
    </row>
    <row r="48" ht="27.75" customHeight="1">
      <c r="A48" s="6" t="s">
        <v>42</v>
      </c>
      <c r="B48" s="6" t="s">
        <v>771</v>
      </c>
      <c r="C48" s="6" t="s">
        <v>775</v>
      </c>
      <c r="D48" s="6" t="s">
        <v>777</v>
      </c>
      <c r="E48" s="6" t="s">
        <v>780</v>
      </c>
      <c r="F48" s="6" t="s">
        <v>782</v>
      </c>
    </row>
    <row r="49" ht="15.75" customHeight="1">
      <c r="A49" s="15" t="s">
        <v>788</v>
      </c>
      <c r="B49" s="15" t="s">
        <v>791</v>
      </c>
      <c r="C49" s="15" t="s">
        <v>792</v>
      </c>
      <c r="D49" s="15" t="s">
        <v>794</v>
      </c>
      <c r="E49" s="15" t="s">
        <v>795</v>
      </c>
      <c r="F49" s="15" t="s">
        <v>798</v>
      </c>
    </row>
    <row r="50" ht="15.75" customHeight="1">
      <c r="A50" s="10" t="s">
        <v>386</v>
      </c>
      <c r="B50" s="10" t="s">
        <v>804</v>
      </c>
      <c r="C50" s="10" t="s">
        <v>806</v>
      </c>
      <c r="D50" s="10" t="s">
        <v>360</v>
      </c>
      <c r="E50" s="55" t="s">
        <v>810</v>
      </c>
      <c r="F50" s="10" t="s">
        <v>798</v>
      </c>
    </row>
    <row r="51" ht="15.75" customHeight="1">
      <c r="A51" s="15" t="s">
        <v>816</v>
      </c>
      <c r="B51" s="15" t="s">
        <v>818</v>
      </c>
      <c r="C51" s="15" t="s">
        <v>821</v>
      </c>
      <c r="D51" s="15" t="s">
        <v>360</v>
      </c>
      <c r="E51" s="53" t="s">
        <v>824</v>
      </c>
      <c r="F51" s="15" t="s">
        <v>798</v>
      </c>
    </row>
    <row r="52" ht="15.75" customHeight="1">
      <c r="A52" s="10" t="s">
        <v>829</v>
      </c>
      <c r="B52" s="10" t="s">
        <v>830</v>
      </c>
      <c r="C52" s="10" t="s">
        <v>831</v>
      </c>
      <c r="D52" s="10" t="s">
        <v>833</v>
      </c>
      <c r="E52" s="55" t="s">
        <v>835</v>
      </c>
      <c r="F52" s="10" t="s">
        <v>798</v>
      </c>
    </row>
    <row r="53" ht="15.75" customHeight="1">
      <c r="A53" s="57" t="s">
        <v>838</v>
      </c>
      <c r="B53" s="57" t="s">
        <v>841</v>
      </c>
      <c r="C53" s="57" t="s">
        <v>844</v>
      </c>
      <c r="D53" s="57" t="s">
        <v>846</v>
      </c>
      <c r="E53" s="47" t="s">
        <v>849</v>
      </c>
      <c r="F53" s="57" t="s">
        <v>364</v>
      </c>
    </row>
    <row r="54" ht="15.75" customHeight="1">
      <c r="A54" s="57" t="s">
        <v>854</v>
      </c>
      <c r="B54" s="57" t="s">
        <v>856</v>
      </c>
      <c r="C54" s="57" t="s">
        <v>857</v>
      </c>
      <c r="D54" s="57" t="s">
        <v>858</v>
      </c>
      <c r="E54" s="47" t="s">
        <v>859</v>
      </c>
      <c r="F54" s="57" t="s">
        <v>469</v>
      </c>
    </row>
    <row r="55" ht="15.75" customHeight="1">
      <c r="A55" s="15" t="s">
        <v>189</v>
      </c>
      <c r="B55" s="15" t="s">
        <v>862</v>
      </c>
      <c r="C55" s="15" t="s">
        <v>863</v>
      </c>
      <c r="D55" s="15" t="s">
        <v>864</v>
      </c>
      <c r="E55" s="53" t="s">
        <v>865</v>
      </c>
      <c r="F55" s="15" t="s">
        <v>189</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3:G3"/>
    <mergeCell ref="A12:G12"/>
    <mergeCell ref="A47:G47"/>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0.0"/>
    <col customWidth="1" min="3" max="3" width="36.0"/>
    <col customWidth="1" min="4" max="4" width="24.0"/>
    <col customWidth="1" min="5" max="5" width="18.0"/>
    <col customWidth="1" min="6" max="6" width="10.0"/>
    <col customWidth="1" min="7" max="26" width="8.71"/>
  </cols>
  <sheetData>
    <row r="1" ht="15.75" customHeight="1">
      <c r="A1" s="3" t="s">
        <v>580</v>
      </c>
      <c r="B1" s="4"/>
      <c r="C1" s="4"/>
      <c r="D1" s="4"/>
      <c r="E1" s="4"/>
      <c r="F1" s="5"/>
    </row>
    <row r="2" ht="4.5" customHeight="1"/>
    <row r="3" ht="15.75" customHeight="1">
      <c r="A3" s="3" t="s">
        <v>581</v>
      </c>
      <c r="B3" s="4"/>
      <c r="C3" s="4"/>
      <c r="D3" s="4"/>
      <c r="E3" s="4"/>
      <c r="F3" s="5"/>
    </row>
    <row r="4" ht="27.75" customHeight="1">
      <c r="A4" s="6" t="s">
        <v>582</v>
      </c>
      <c r="B4" s="6" t="s">
        <v>583</v>
      </c>
      <c r="C4" s="6" t="s">
        <v>584</v>
      </c>
      <c r="D4" s="6" t="s">
        <v>42</v>
      </c>
      <c r="E4" s="6" t="s">
        <v>585</v>
      </c>
      <c r="F4" s="6" t="s">
        <v>586</v>
      </c>
    </row>
    <row r="5">
      <c r="A5" s="13" t="s">
        <v>587</v>
      </c>
      <c r="B5" s="15" t="s">
        <v>588</v>
      </c>
      <c r="C5" s="15" t="s">
        <v>589</v>
      </c>
      <c r="D5" s="15" t="s">
        <v>124</v>
      </c>
      <c r="E5" s="15" t="s">
        <v>590</v>
      </c>
      <c r="F5" s="43" t="s">
        <v>591</v>
      </c>
    </row>
    <row r="6">
      <c r="A6" s="8" t="s">
        <v>593</v>
      </c>
      <c r="B6" s="10" t="s">
        <v>588</v>
      </c>
      <c r="C6" s="10" t="s">
        <v>594</v>
      </c>
      <c r="D6" s="10" t="s">
        <v>124</v>
      </c>
      <c r="E6" s="10" t="s">
        <v>595</v>
      </c>
      <c r="F6" s="34" t="s">
        <v>596</v>
      </c>
    </row>
    <row r="7">
      <c r="A7" s="13" t="s">
        <v>598</v>
      </c>
      <c r="B7" s="15" t="s">
        <v>588</v>
      </c>
      <c r="C7" s="15" t="s">
        <v>599</v>
      </c>
      <c r="D7" s="15" t="s">
        <v>124</v>
      </c>
      <c r="E7" s="15" t="s">
        <v>600</v>
      </c>
      <c r="F7" s="15"/>
    </row>
    <row r="8">
      <c r="A8" s="8" t="s">
        <v>601</v>
      </c>
      <c r="B8" s="10" t="s">
        <v>602</v>
      </c>
      <c r="C8" s="10" t="s">
        <v>603</v>
      </c>
      <c r="D8" s="10" t="s">
        <v>124</v>
      </c>
      <c r="E8" s="10" t="s">
        <v>604</v>
      </c>
      <c r="F8" s="10"/>
    </row>
    <row r="9">
      <c r="A9" s="13" t="s">
        <v>606</v>
      </c>
      <c r="B9" s="15" t="s">
        <v>607</v>
      </c>
      <c r="C9" s="15" t="s">
        <v>608</v>
      </c>
      <c r="D9" s="15" t="s">
        <v>124</v>
      </c>
      <c r="E9" s="15" t="s">
        <v>610</v>
      </c>
      <c r="F9" s="15"/>
    </row>
    <row r="10">
      <c r="A10" s="8" t="s">
        <v>613</v>
      </c>
      <c r="B10" s="10" t="s">
        <v>614</v>
      </c>
      <c r="C10" s="10" t="s">
        <v>615</v>
      </c>
      <c r="D10" s="10" t="s">
        <v>124</v>
      </c>
      <c r="E10" s="10" t="s">
        <v>616</v>
      </c>
      <c r="F10" s="34" t="s">
        <v>617</v>
      </c>
    </row>
    <row r="11">
      <c r="A11" s="13" t="s">
        <v>618</v>
      </c>
      <c r="B11" s="15" t="s">
        <v>619</v>
      </c>
      <c r="C11" s="15" t="s">
        <v>620</v>
      </c>
      <c r="D11" s="15" t="s">
        <v>124</v>
      </c>
      <c r="E11" s="15" t="s">
        <v>621</v>
      </c>
      <c r="F11" s="43" t="s">
        <v>622</v>
      </c>
    </row>
    <row r="12">
      <c r="A12" s="8" t="s">
        <v>623</v>
      </c>
      <c r="B12" s="10" t="s">
        <v>619</v>
      </c>
      <c r="C12" s="10" t="s">
        <v>624</v>
      </c>
      <c r="D12" s="10" t="s">
        <v>70</v>
      </c>
      <c r="E12" s="10" t="s">
        <v>625</v>
      </c>
      <c r="F12" s="34" t="s">
        <v>626</v>
      </c>
    </row>
    <row r="14" ht="4.5" customHeight="1"/>
    <row r="15" ht="15.75" customHeight="1">
      <c r="A15" s="3" t="s">
        <v>628</v>
      </c>
      <c r="B15" s="4"/>
      <c r="C15" s="4"/>
      <c r="D15" s="4"/>
      <c r="E15" s="4"/>
      <c r="F15" s="5"/>
    </row>
    <row r="16" ht="27.75" customHeight="1">
      <c r="A16" s="6" t="s">
        <v>629</v>
      </c>
      <c r="B16" s="6" t="s">
        <v>630</v>
      </c>
      <c r="C16" s="6" t="s">
        <v>631</v>
      </c>
      <c r="D16" s="6" t="s">
        <v>632</v>
      </c>
      <c r="E16" s="6" t="s">
        <v>633</v>
      </c>
      <c r="F16" s="6" t="s">
        <v>634</v>
      </c>
    </row>
    <row r="17" ht="55.5" customHeight="1">
      <c r="A17" s="13" t="s">
        <v>635</v>
      </c>
      <c r="B17" s="15" t="s">
        <v>124</v>
      </c>
      <c r="C17" s="15" t="s">
        <v>636</v>
      </c>
      <c r="D17" s="15" t="s">
        <v>637</v>
      </c>
      <c r="E17" s="15" t="s">
        <v>638</v>
      </c>
      <c r="F17" s="43" t="s">
        <v>639</v>
      </c>
    </row>
    <row r="18" ht="55.5" customHeight="1">
      <c r="A18" s="8" t="s">
        <v>640</v>
      </c>
      <c r="B18" s="10" t="s">
        <v>70</v>
      </c>
      <c r="C18" s="10" t="s">
        <v>641</v>
      </c>
      <c r="D18" s="10" t="s">
        <v>643</v>
      </c>
      <c r="E18" s="10" t="s">
        <v>645</v>
      </c>
      <c r="F18" s="34" t="s">
        <v>646</v>
      </c>
    </row>
    <row r="20" ht="4.5" customHeight="1"/>
    <row r="21" ht="15.75" customHeight="1">
      <c r="A21" s="3" t="s">
        <v>647</v>
      </c>
      <c r="B21" s="4"/>
      <c r="C21" s="4"/>
      <c r="D21" s="4"/>
      <c r="E21" s="4"/>
      <c r="F21" s="5"/>
    </row>
    <row r="22" ht="27.75" customHeight="1">
      <c r="A22" s="6" t="s">
        <v>648</v>
      </c>
      <c r="B22" s="6" t="s">
        <v>366</v>
      </c>
      <c r="C22" s="6" t="s">
        <v>649</v>
      </c>
      <c r="D22" s="6" t="s">
        <v>651</v>
      </c>
      <c r="E22" s="6" t="s">
        <v>653</v>
      </c>
      <c r="F22" s="6" t="s">
        <v>654</v>
      </c>
    </row>
    <row r="23" ht="15.75" customHeight="1">
      <c r="A23" s="13" t="s">
        <v>655</v>
      </c>
      <c r="B23" s="15" t="s">
        <v>656</v>
      </c>
      <c r="C23" s="15" t="s">
        <v>658</v>
      </c>
      <c r="D23" s="15" t="s">
        <v>659</v>
      </c>
      <c r="E23" s="15"/>
      <c r="F23" s="15" t="s">
        <v>660</v>
      </c>
    </row>
    <row r="24" ht="15.75" customHeight="1">
      <c r="A24" s="8" t="s">
        <v>661</v>
      </c>
      <c r="B24" s="10" t="s">
        <v>656</v>
      </c>
      <c r="C24" s="10" t="s">
        <v>662</v>
      </c>
      <c r="D24" s="10" t="s">
        <v>659</v>
      </c>
      <c r="E24" s="10"/>
      <c r="F24" s="10" t="s">
        <v>660</v>
      </c>
    </row>
    <row r="25" ht="15.75" customHeight="1">
      <c r="A25" s="56" t="s">
        <v>65</v>
      </c>
      <c r="B25" s="57" t="s">
        <v>666</v>
      </c>
      <c r="C25" s="57" t="s">
        <v>667</v>
      </c>
      <c r="D25" s="57" t="s">
        <v>668</v>
      </c>
      <c r="E25" s="47" t="s">
        <v>669</v>
      </c>
      <c r="F25" s="57" t="s">
        <v>660</v>
      </c>
    </row>
    <row r="26" ht="15.75" customHeight="1">
      <c r="A26" s="8" t="s">
        <v>670</v>
      </c>
      <c r="B26" s="10" t="s">
        <v>672</v>
      </c>
      <c r="C26" s="10" t="s">
        <v>673</v>
      </c>
      <c r="D26" s="10" t="s">
        <v>659</v>
      </c>
      <c r="E26" s="10"/>
      <c r="F26" s="10" t="s">
        <v>674</v>
      </c>
    </row>
    <row r="27" ht="15.75" customHeight="1">
      <c r="A27" s="93" t="s">
        <v>675</v>
      </c>
      <c r="B27" s="29" t="s">
        <v>676</v>
      </c>
      <c r="C27" s="29" t="s">
        <v>677</v>
      </c>
      <c r="D27" s="29" t="s">
        <v>678</v>
      </c>
      <c r="E27" s="29"/>
      <c r="F27" s="29" t="s">
        <v>679</v>
      </c>
    </row>
    <row r="28" ht="15.75" customHeight="1">
      <c r="A28" s="95" t="s">
        <v>680</v>
      </c>
      <c r="B28" s="37" t="s">
        <v>676</v>
      </c>
      <c r="C28" s="37" t="s">
        <v>681</v>
      </c>
      <c r="D28" s="37" t="s">
        <v>659</v>
      </c>
      <c r="E28" s="37"/>
      <c r="F28" s="37" t="s">
        <v>679</v>
      </c>
    </row>
    <row r="29" ht="15.75" customHeight="1"/>
    <row r="30" ht="24.0" customHeight="1">
      <c r="A30" s="49" t="s">
        <v>685</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3:F3"/>
    <mergeCell ref="A15:F15"/>
    <mergeCell ref="A21:F21"/>
    <mergeCell ref="A30:F30"/>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6.0"/>
    <col customWidth="1" min="2" max="2" width="48.0"/>
    <col customWidth="1" min="3" max="3" width="44.0"/>
    <col customWidth="1" min="4" max="4" width="13.0"/>
    <col customWidth="1" min="5" max="5" width="18.0"/>
    <col customWidth="1" min="6" max="26" width="8.71"/>
  </cols>
  <sheetData>
    <row r="1" ht="15.75" customHeight="1">
      <c r="A1" s="3" t="s">
        <v>702</v>
      </c>
      <c r="B1" s="4"/>
      <c r="C1" s="4"/>
      <c r="D1" s="4"/>
      <c r="E1" s="5"/>
    </row>
    <row r="2" ht="4.5" customHeight="1"/>
    <row r="3" ht="27.75" customHeight="1">
      <c r="A3" s="6" t="s">
        <v>19</v>
      </c>
      <c r="B3" s="6" t="s">
        <v>707</v>
      </c>
      <c r="C3" s="6" t="s">
        <v>505</v>
      </c>
      <c r="D3" s="6" t="s">
        <v>20</v>
      </c>
      <c r="E3" s="6" t="s">
        <v>708</v>
      </c>
    </row>
    <row r="4" ht="27.75" customHeight="1">
      <c r="A4" s="13" t="s">
        <v>506</v>
      </c>
      <c r="B4" s="15" t="s">
        <v>507</v>
      </c>
      <c r="C4" s="21" t="str">
        <f>HYPERLINK("https://www.novaoneadvisor.com/report/us-leather-goods-market","https://www.novaoneadvisor.com/report/us-leather-goods-market")</f>
        <v>https://www.novaoneadvisor.com/report/us-leather-goods-market</v>
      </c>
      <c r="D4" s="92" t="s">
        <v>48</v>
      </c>
      <c r="E4" s="29" t="s">
        <v>709</v>
      </c>
    </row>
    <row r="5" ht="27.75" customHeight="1">
      <c r="A5" s="8" t="s">
        <v>516</v>
      </c>
      <c r="B5" s="10" t="s">
        <v>711</v>
      </c>
      <c r="C5" s="27" t="str">
        <f>HYPERLINK("https://www.accio.com/business/amazon-mens-wallet-best-seller","https://www.accio.com/business/amazon-mens-wallet-best-seller")</f>
        <v>https://www.accio.com/business/amazon-mens-wallet-best-seller</v>
      </c>
      <c r="D5" s="66" t="s">
        <v>48</v>
      </c>
      <c r="E5" s="37" t="s">
        <v>719</v>
      </c>
    </row>
    <row r="6" ht="27.75" customHeight="1">
      <c r="A6" s="13" t="s">
        <v>526</v>
      </c>
      <c r="B6" s="15" t="s">
        <v>722</v>
      </c>
      <c r="C6" s="21" t="str">
        <f>HYPERLINK("https://erank.com","https://erank.com")</f>
        <v>https://erank.com</v>
      </c>
      <c r="D6" s="92" t="s">
        <v>48</v>
      </c>
      <c r="E6" s="29" t="s">
        <v>725</v>
      </c>
    </row>
    <row r="7" ht="27.75" customHeight="1">
      <c r="A7" s="8" t="s">
        <v>532</v>
      </c>
      <c r="B7" s="10" t="s">
        <v>534</v>
      </c>
      <c r="C7" s="27" t="str">
        <f>HYPERLINK("https://shelftrend.com","https://shelftrend.com")</f>
        <v>https://shelftrend.com</v>
      </c>
      <c r="D7" s="66" t="s">
        <v>48</v>
      </c>
      <c r="E7" s="37" t="s">
        <v>743</v>
      </c>
    </row>
    <row r="8" ht="27.75" customHeight="1">
      <c r="A8" s="13" t="s">
        <v>746</v>
      </c>
      <c r="B8" s="15" t="s">
        <v>748</v>
      </c>
      <c r="C8" s="21" t="str">
        <f>HYPERLINK("https://www.ftc.gov/legal-library/browse/rules/guides-use-word-leather","https://www.ftc.gov/legal-library/browse/rules/guides-use-word-leather")</f>
        <v>https://www.ftc.gov/legal-library/browse/rules/guides-use-word-leather</v>
      </c>
      <c r="D8" s="46" t="s">
        <v>112</v>
      </c>
      <c r="E8" s="29" t="s">
        <v>759</v>
      </c>
    </row>
    <row r="9" ht="27.75" customHeight="1">
      <c r="A9" s="8" t="s">
        <v>763</v>
      </c>
      <c r="B9" s="10" t="s">
        <v>765</v>
      </c>
      <c r="C9" s="27" t="str">
        <f>HYPERLINK("https://help.shopify.com/en/manual/products/details/product-type","https://help.shopify.com/en/manual/products/details/product-type")</f>
        <v>https://help.shopify.com/en/manual/products/details/product-type</v>
      </c>
      <c r="D9" s="30" t="s">
        <v>112</v>
      </c>
      <c r="E9" s="37" t="s">
        <v>769</v>
      </c>
    </row>
    <row r="10" ht="27.75" customHeight="1">
      <c r="A10" s="13" t="s">
        <v>773</v>
      </c>
      <c r="B10" s="15" t="s">
        <v>776</v>
      </c>
      <c r="C10" s="21" t="str">
        <f>HYPERLINK("https://developer-docs.amazon.com/sp-api/docs/product-type-definitions-api-v2020-09-01-use-case-guide","https://developer-docs.amazon.com/sp-api/docs/product-type-definitions-api-v2020-09-01-use-case-guide")</f>
        <v>https://developer-docs.amazon.com/sp-api/docs/product-type-definitions-api-v2020-09-01-use-case-guide</v>
      </c>
      <c r="D10" s="46" t="s">
        <v>112</v>
      </c>
      <c r="E10" s="29" t="s">
        <v>793</v>
      </c>
    </row>
    <row r="11" ht="27.75" customHeight="1">
      <c r="A11" s="8" t="s">
        <v>797</v>
      </c>
      <c r="B11" s="10" t="s">
        <v>800</v>
      </c>
      <c r="C11" s="27" t="str">
        <f>HYPERLINK("https://printkk.com","https://printkk.com")</f>
        <v>https://printkk.com</v>
      </c>
      <c r="D11" s="30" t="s">
        <v>112</v>
      </c>
      <c r="E11" s="37" t="s">
        <v>749</v>
      </c>
    </row>
    <row r="12" ht="27.75" customHeight="1">
      <c r="A12" s="13" t="s">
        <v>813</v>
      </c>
      <c r="B12" s="15" t="s">
        <v>814</v>
      </c>
      <c r="C12" s="105" t="s">
        <v>819</v>
      </c>
      <c r="D12" s="46" t="s">
        <v>112</v>
      </c>
      <c r="E12" s="29" t="s">
        <v>739</v>
      </c>
    </row>
    <row r="13" ht="27.75" customHeight="1">
      <c r="A13" s="8" t="s">
        <v>826</v>
      </c>
      <c r="B13" s="10" t="s">
        <v>828</v>
      </c>
      <c r="C13" s="27" t="str">
        <f>HYPERLINK("https://www.leatherworkinggroup.com","https://www.leatherworkinggroup.com")</f>
        <v>https://www.leatherworkinggroup.com</v>
      </c>
      <c r="D13" s="30" t="s">
        <v>112</v>
      </c>
      <c r="E13" s="37" t="s">
        <v>842</v>
      </c>
    </row>
    <row r="14" ht="27.75" customHeight="1">
      <c r="A14" s="13" t="s">
        <v>847</v>
      </c>
      <c r="B14" s="15" t="s">
        <v>850</v>
      </c>
      <c r="C14" s="21" t="str">
        <f>HYPERLINK("https://github.com/elenacastan-maker/fyul-pm-interview-prep","https://github.com/elenacastan-maker/fyul-pm-interview-prep")</f>
        <v>https://github.com/elenacastan-maker/fyul-pm-interview-prep</v>
      </c>
      <c r="D14" s="92" t="s">
        <v>860</v>
      </c>
      <c r="E14" s="29" t="s">
        <v>861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30.0"/>
    <col customWidth="1" min="3" max="3" width="70.0"/>
    <col customWidth="1" min="4" max="4" width="18.0"/>
    <col customWidth="1" min="5" max="26" width="8.71"/>
  </cols>
  <sheetData>
    <row r="1" ht="15.75" customHeight="1">
      <c r="A1" s="3" t="s">
        <v>710</v>
      </c>
      <c r="B1" s="4"/>
      <c r="C1" s="4"/>
      <c r="D1" s="5"/>
    </row>
    <row r="2" ht="4.5" customHeight="1"/>
    <row r="3" ht="27.75" customHeight="1">
      <c r="A3" s="6" t="s">
        <v>712</v>
      </c>
      <c r="B3" s="6" t="s">
        <v>713</v>
      </c>
      <c r="C3" s="6" t="s">
        <v>714</v>
      </c>
      <c r="D3" s="6" t="s">
        <v>715</v>
      </c>
    </row>
    <row r="4" ht="36.0" customHeight="1">
      <c r="A4" s="13" t="s">
        <v>718</v>
      </c>
      <c r="B4" s="29" t="s">
        <v>720</v>
      </c>
      <c r="C4" s="15" t="s">
        <v>721</v>
      </c>
      <c r="D4" s="103" t="s">
        <v>723</v>
      </c>
    </row>
    <row r="5" ht="36.0" customHeight="1">
      <c r="A5" s="8" t="s">
        <v>724</v>
      </c>
      <c r="B5" s="37" t="s">
        <v>726</v>
      </c>
      <c r="C5" s="10" t="s">
        <v>728</v>
      </c>
      <c r="D5" s="104" t="s">
        <v>723</v>
      </c>
    </row>
    <row r="6" ht="36.0" customHeight="1">
      <c r="A6" s="13" t="s">
        <v>729</v>
      </c>
      <c r="B6" s="29" t="s">
        <v>730</v>
      </c>
      <c r="C6" s="15" t="s">
        <v>731</v>
      </c>
      <c r="D6" s="103" t="s">
        <v>732</v>
      </c>
    </row>
    <row r="7" ht="36.0" customHeight="1">
      <c r="A7" s="8" t="s">
        <v>733</v>
      </c>
      <c r="B7" s="37" t="s">
        <v>734</v>
      </c>
      <c r="C7" s="10" t="s">
        <v>735</v>
      </c>
      <c r="D7" s="104" t="s">
        <v>723</v>
      </c>
    </row>
    <row r="8" ht="36.0" customHeight="1">
      <c r="A8" s="13" t="s">
        <v>736</v>
      </c>
      <c r="B8" s="29" t="s">
        <v>737</v>
      </c>
      <c r="C8" s="15" t="s">
        <v>738</v>
      </c>
      <c r="D8" s="103" t="s">
        <v>739</v>
      </c>
    </row>
    <row r="9" ht="36.0" customHeight="1">
      <c r="A9" s="8" t="s">
        <v>740</v>
      </c>
      <c r="B9" s="37" t="s">
        <v>741</v>
      </c>
      <c r="C9" s="10" t="s">
        <v>742</v>
      </c>
      <c r="D9" s="104" t="s">
        <v>725</v>
      </c>
    </row>
    <row r="10" ht="36.0" customHeight="1">
      <c r="A10" s="13" t="s">
        <v>744</v>
      </c>
      <c r="B10" s="29" t="s">
        <v>745</v>
      </c>
      <c r="C10" s="15" t="s">
        <v>747</v>
      </c>
      <c r="D10" s="103" t="s">
        <v>749</v>
      </c>
    </row>
    <row r="11" ht="36.0" customHeight="1">
      <c r="A11" s="8" t="s">
        <v>13</v>
      </c>
      <c r="B11" s="37" t="s">
        <v>750</v>
      </c>
      <c r="C11" s="10" t="s">
        <v>751</v>
      </c>
      <c r="D11" s="104" t="s">
        <v>752</v>
      </c>
    </row>
    <row r="12" ht="36.0" customHeight="1">
      <c r="A12" s="13" t="s">
        <v>28</v>
      </c>
      <c r="B12" s="29" t="s">
        <v>753</v>
      </c>
      <c r="C12" s="15" t="s">
        <v>754</v>
      </c>
      <c r="D12" s="103" t="s">
        <v>752</v>
      </c>
    </row>
    <row r="13" ht="36.0" customHeight="1">
      <c r="A13" s="8" t="s">
        <v>755</v>
      </c>
      <c r="B13" s="37" t="s">
        <v>756</v>
      </c>
      <c r="C13" s="10" t="s">
        <v>757</v>
      </c>
      <c r="D13" s="104" t="s">
        <v>752</v>
      </c>
    </row>
    <row r="14" ht="36.0" customHeight="1">
      <c r="A14" s="13" t="s">
        <v>758</v>
      </c>
      <c r="B14" s="29" t="s">
        <v>761</v>
      </c>
      <c r="C14" s="15" t="s">
        <v>762</v>
      </c>
      <c r="D14" s="103" t="s">
        <v>764</v>
      </c>
    </row>
    <row r="15" ht="36.0" customHeight="1">
      <c r="A15" s="8" t="s">
        <v>766</v>
      </c>
      <c r="B15" s="37" t="s">
        <v>767</v>
      </c>
      <c r="C15" s="10" t="s">
        <v>768</v>
      </c>
      <c r="D15" s="104" t="s">
        <v>759</v>
      </c>
    </row>
    <row r="16" ht="36.0" customHeight="1">
      <c r="A16" s="13" t="s">
        <v>770</v>
      </c>
      <c r="B16" s="29" t="s">
        <v>772</v>
      </c>
      <c r="C16" s="15" t="s">
        <v>774</v>
      </c>
      <c r="D16" s="103" t="s">
        <v>759</v>
      </c>
    </row>
    <row r="17" ht="36.0" customHeight="1">
      <c r="A17" s="8" t="s">
        <v>778</v>
      </c>
      <c r="B17" s="37" t="s">
        <v>779</v>
      </c>
      <c r="C17" s="10" t="s">
        <v>781</v>
      </c>
      <c r="D17" s="104" t="s">
        <v>783</v>
      </c>
    </row>
    <row r="18" ht="36.0" customHeight="1">
      <c r="A18" s="13" t="s">
        <v>784</v>
      </c>
      <c r="B18" s="29" t="s">
        <v>785</v>
      </c>
      <c r="C18" s="15" t="s">
        <v>786</v>
      </c>
      <c r="D18" s="103" t="s">
        <v>787</v>
      </c>
    </row>
    <row r="19" ht="36.0" customHeight="1">
      <c r="A19" s="8" t="s">
        <v>789</v>
      </c>
      <c r="B19" s="37" t="s">
        <v>790</v>
      </c>
      <c r="C19" s="10" t="s">
        <v>796</v>
      </c>
      <c r="D19" s="104" t="s">
        <v>799</v>
      </c>
    </row>
    <row r="20" ht="36.0" customHeight="1">
      <c r="A20" s="13" t="s">
        <v>801</v>
      </c>
      <c r="B20" s="29" t="s">
        <v>802</v>
      </c>
      <c r="C20" s="15" t="s">
        <v>803</v>
      </c>
      <c r="D20" s="103" t="s">
        <v>799</v>
      </c>
    </row>
    <row r="21" ht="36.0" customHeight="1">
      <c r="A21" s="8" t="s">
        <v>805</v>
      </c>
      <c r="B21" s="37" t="s">
        <v>807</v>
      </c>
      <c r="C21" s="10" t="s">
        <v>808</v>
      </c>
      <c r="D21" s="104" t="s">
        <v>793</v>
      </c>
    </row>
    <row r="22" ht="36.0" customHeight="1">
      <c r="A22" s="13" t="s">
        <v>809</v>
      </c>
      <c r="B22" s="29" t="s">
        <v>811</v>
      </c>
      <c r="C22" s="15" t="s">
        <v>812</v>
      </c>
      <c r="D22" s="103" t="s">
        <v>769</v>
      </c>
    </row>
    <row r="23" ht="36.0" customHeight="1">
      <c r="A23" s="8" t="s">
        <v>587</v>
      </c>
      <c r="B23" s="37" t="s">
        <v>815</v>
      </c>
      <c r="C23" s="10" t="s">
        <v>817</v>
      </c>
      <c r="D23" s="104" t="s">
        <v>820</v>
      </c>
    </row>
    <row r="24" ht="36.0" customHeight="1">
      <c r="A24" s="13" t="s">
        <v>593</v>
      </c>
      <c r="B24" s="29" t="s">
        <v>822</v>
      </c>
      <c r="C24" s="15" t="s">
        <v>823</v>
      </c>
      <c r="D24" s="103" t="s">
        <v>820</v>
      </c>
    </row>
    <row r="25" ht="36.0" customHeight="1">
      <c r="A25" s="8" t="s">
        <v>613</v>
      </c>
      <c r="B25" s="37" t="s">
        <v>825</v>
      </c>
      <c r="C25" s="10" t="s">
        <v>827</v>
      </c>
      <c r="D25" s="104" t="s">
        <v>820</v>
      </c>
    </row>
    <row r="26" ht="36.0" customHeight="1">
      <c r="A26" s="13" t="s">
        <v>618</v>
      </c>
      <c r="B26" s="29" t="s">
        <v>832</v>
      </c>
      <c r="C26" s="15" t="s">
        <v>834</v>
      </c>
      <c r="D26" s="103" t="s">
        <v>820</v>
      </c>
    </row>
    <row r="27" ht="36.0" customHeight="1">
      <c r="A27" s="8" t="s">
        <v>623</v>
      </c>
      <c r="B27" s="37" t="s">
        <v>836</v>
      </c>
      <c r="C27" s="10" t="s">
        <v>837</v>
      </c>
      <c r="D27" s="104" t="s">
        <v>820</v>
      </c>
    </row>
    <row r="28" ht="36.0" customHeight="1">
      <c r="A28" s="13" t="s">
        <v>839</v>
      </c>
      <c r="B28" s="29" t="s">
        <v>840</v>
      </c>
      <c r="C28" s="15" t="s">
        <v>843</v>
      </c>
      <c r="D28" s="103" t="s">
        <v>723</v>
      </c>
    </row>
    <row r="29" ht="36.0" customHeight="1">
      <c r="A29" s="8" t="s">
        <v>845</v>
      </c>
      <c r="B29" s="37" t="s">
        <v>848</v>
      </c>
      <c r="C29" s="10" t="s">
        <v>851</v>
      </c>
      <c r="D29" s="104" t="s">
        <v>723</v>
      </c>
    </row>
    <row r="30" ht="36.0" customHeight="1">
      <c r="A30" s="13" t="s">
        <v>852</v>
      </c>
      <c r="B30" s="29" t="s">
        <v>853</v>
      </c>
      <c r="C30" s="15" t="s">
        <v>855</v>
      </c>
      <c r="D30" s="103" t="s">
        <v>732</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